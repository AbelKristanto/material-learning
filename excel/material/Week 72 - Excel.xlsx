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elkrw/GithubRepo/Github/material-learning/excel/material/"/>
    </mc:Choice>
  </mc:AlternateContent>
  <xr:revisionPtr revIDLastSave="0" documentId="13_ncr:1_{DC6620C1-CB53-F948-9C96-C13830426E1A}" xr6:coauthVersionLast="47" xr6:coauthVersionMax="47" xr10:uidLastSave="{00000000-0000-0000-0000-000000000000}"/>
  <bookViews>
    <workbookView xWindow="0" yWindow="600" windowWidth="28800" windowHeight="16100" activeTab="3" xr2:uid="{459D0F48-FFE5-2A46-9D29-654008C8D2BD}"/>
  </bookViews>
  <sheets>
    <sheet name="Intro" sheetId="67" r:id="rId1"/>
    <sheet name="Task 1" sheetId="88" r:id="rId2"/>
    <sheet name="Task 2" sheetId="100" r:id="rId3"/>
    <sheet name="Task 3" sheetId="101" r:id="rId4"/>
  </sheets>
  <definedNames>
    <definedName name="_xlnm._FilterDatabase" localSheetId="0" hidden="1">Intro!#REF!</definedName>
    <definedName name="_xlnm.Criteria" localSheetId="0">Intro!#REF!</definedName>
    <definedName name="_xlnm.Extract" localSheetId="0">Intro!#REF!</definedName>
  </definedNames>
  <calcPr calcId="191029"/>
  <pivotCaches>
    <pivotCache cacheId="6" r:id="rId5"/>
    <pivotCache cacheId="1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01" l="1"/>
  <c r="B2" i="101"/>
  <c r="B3" i="100"/>
  <c r="B2" i="100"/>
  <c r="B3" i="88"/>
  <c r="B2" i="88"/>
  <c r="C30" i="100"/>
  <c r="C30" i="101"/>
  <c r="B29" i="67"/>
  <c r="C28" i="88"/>
  <c r="B28" i="88"/>
  <c r="B30" i="67"/>
</calcChain>
</file>

<file path=xl/sharedStrings.xml><?xml version="1.0" encoding="utf-8"?>
<sst xmlns="http://schemas.openxmlformats.org/spreadsheetml/2006/main" count="191" uniqueCount="49">
  <si>
    <t>Example.</t>
  </si>
  <si>
    <t>How.</t>
  </si>
  <si>
    <t>Source Data</t>
  </si>
  <si>
    <t>Task.</t>
  </si>
  <si>
    <t>In this session, you will learn new function!</t>
  </si>
  <si>
    <t>Profit</t>
  </si>
  <si>
    <t>ID</t>
  </si>
  <si>
    <t>Sales Name</t>
  </si>
  <si>
    <t>Location</t>
  </si>
  <si>
    <t>Table.</t>
  </si>
  <si>
    <t>Yoko</t>
  </si>
  <si>
    <t>Joko</t>
  </si>
  <si>
    <t>Budi</t>
  </si>
  <si>
    <t>Alexis</t>
  </si>
  <si>
    <t>Surabaya</t>
  </si>
  <si>
    <t>Jakarta</t>
  </si>
  <si>
    <t>Result</t>
  </si>
  <si>
    <t>Date</t>
  </si>
  <si>
    <t>Region</t>
  </si>
  <si>
    <t>Salesperson</t>
  </si>
  <si>
    <t>JKT</t>
  </si>
  <si>
    <t>SBY</t>
  </si>
  <si>
    <t>T01</t>
  </si>
  <si>
    <t>T02</t>
  </si>
  <si>
    <t>T03</t>
  </si>
  <si>
    <t>Sales</t>
  </si>
  <si>
    <t>Johanes</t>
  </si>
  <si>
    <t>Mekudo</t>
  </si>
  <si>
    <t>Week 72 - One Day, One Function</t>
  </si>
  <si>
    <r>
      <t xml:space="preserve">Today, you will learn how </t>
    </r>
    <r>
      <rPr>
        <b/>
        <sz val="12"/>
        <color theme="1"/>
        <rFont val="Calibri"/>
        <family val="2"/>
        <scheme val="minor"/>
      </rPr>
      <t>GETPIVOTDATA</t>
    </r>
    <r>
      <rPr>
        <sz val="12"/>
        <color theme="1"/>
        <rFont val="Calibri"/>
        <family val="2"/>
        <scheme val="minor"/>
      </rPr>
      <t xml:space="preserve"> allows you to </t>
    </r>
    <r>
      <rPr>
        <b/>
        <sz val="12"/>
        <color theme="1"/>
        <rFont val="Calibri"/>
        <family val="2"/>
        <scheme val="minor"/>
      </rPr>
      <t>extract specific values</t>
    </r>
    <r>
      <rPr>
        <sz val="12"/>
        <color theme="1"/>
        <rFont val="Calibri"/>
        <family val="2"/>
        <scheme val="minor"/>
      </rPr>
      <t xml:space="preserve"> from a Pivot Table dynamically and safely</t>
    </r>
  </si>
  <si>
    <t>=GETPIVOTDATA(data_field, pivot_table, [field1, item1], [field2, item2], ...)</t>
  </si>
  <si>
    <t>- data_field → the value field (e.g., “Sum of Revenue”)
- pivot_table → any cell inside the Pivot Table
- field1, item1 → filtering conditions
- Can add multiple field-item pairs</t>
  </si>
  <si>
    <t>Pivot Table</t>
  </si>
  <si>
    <t>Row Labels</t>
  </si>
  <si>
    <t>Grand Total</t>
  </si>
  <si>
    <t>Column Labels</t>
  </si>
  <si>
    <t>Sum of Profit</t>
  </si>
  <si>
    <t>Returns Joko Profit</t>
  </si>
  <si>
    <t>3. Error Handling</t>
  </si>
  <si>
    <t>2. Dynamic Input Dashboard</t>
  </si>
  <si>
    <t>1. Return Individual Performance</t>
  </si>
  <si>
    <t>MLG</t>
  </si>
  <si>
    <t>Return Individual Performance for Alexis</t>
  </si>
  <si>
    <t>Sum of Sales</t>
  </si>
  <si>
    <t>Report</t>
  </si>
  <si>
    <t>Dynamic Input Dashboard</t>
  </si>
  <si>
    <t>Error Handling</t>
  </si>
  <si>
    <t>Julexis</t>
  </si>
  <si>
    <t>PBG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</si>
</sst>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_);[Red]\(&quot;Rp&quot;#,##0\)"/>
    <numFmt numFmtId="41" formatCode="_(* #,##0_);_(* \(#,##0\);_(* &quot;-&quot;_);_(@_)"/>
  </numFmts>
  <fonts count="10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.8"/>
      <color theme="1"/>
      <name val="Tahoma"/>
      <family val="2"/>
    </font>
    <font>
      <sz val="18"/>
      <color theme="1"/>
      <name val="Tahoma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 (Body)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6" fontId="0" fillId="0" borderId="0" xfId="0" applyNumberFormat="1"/>
    <xf numFmtId="41" fontId="0" fillId="0" borderId="0" xfId="1" applyFont="1"/>
    <xf numFmtId="0" fontId="0" fillId="0" borderId="0" xfId="0" quotePrefix="1"/>
    <xf numFmtId="0" fontId="5" fillId="0" borderId="0" xfId="0" applyFont="1"/>
    <xf numFmtId="0" fontId="6" fillId="0" borderId="0" xfId="0" applyFont="1"/>
    <xf numFmtId="0" fontId="0" fillId="2" borderId="0" xfId="0" applyFill="1"/>
    <xf numFmtId="0" fontId="0" fillId="0" borderId="0" xfId="0" quotePrefix="1" applyAlignment="1">
      <alignment horizontal="left" wrapText="1"/>
    </xf>
    <xf numFmtId="0" fontId="0" fillId="0" borderId="0" xfId="0" quotePrefix="1" applyAlignment="1">
      <alignment horizontal="left"/>
    </xf>
    <xf numFmtId="0" fontId="2" fillId="0" borderId="0" xfId="0" quotePrefix="1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7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/>
    </xf>
    <xf numFmtId="0" fontId="8" fillId="0" borderId="0" xfId="0" quotePrefix="1" applyFont="1" applyAlignment="1">
      <alignment horizontal="left"/>
    </xf>
    <xf numFmtId="0" fontId="0" fillId="0" borderId="0" xfId="0" applyAlignment="1">
      <alignment vertical="top"/>
    </xf>
    <xf numFmtId="0" fontId="2" fillId="0" borderId="0" xfId="0" quotePrefix="1" applyFont="1"/>
    <xf numFmtId="20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0" fontId="2" fillId="0" borderId="0" xfId="0" quotePrefix="1" applyNumberFormat="1" applyFont="1" applyAlignment="1">
      <alignment horizontal="left"/>
    </xf>
    <xf numFmtId="1" fontId="0" fillId="0" borderId="0" xfId="1" quotePrefix="1" applyNumberFormat="1" applyFont="1" applyAlignment="1">
      <alignment horizontal="left"/>
    </xf>
    <xf numFmtId="1" fontId="0" fillId="0" borderId="0" xfId="1" quotePrefix="1" applyNumberFormat="1" applyFont="1" applyAlignment="1">
      <alignment horizontal="center" vertical="center"/>
    </xf>
    <xf numFmtId="20" fontId="0" fillId="0" borderId="1" xfId="0" quotePrefix="1" applyNumberFormat="1" applyBorder="1" applyAlignment="1">
      <alignment horizontal="center" vertical="center"/>
    </xf>
    <xf numFmtId="0" fontId="0" fillId="2" borderId="0" xfId="0" quotePrefix="1" applyFill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/>
    </xf>
    <xf numFmtId="41" fontId="0" fillId="0" borderId="0" xfId="1" applyFont="1" applyAlignment="1">
      <alignment horizontal="center" vertical="center"/>
    </xf>
    <xf numFmtId="41" fontId="0" fillId="0" borderId="0" xfId="1" applyFon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41" fontId="0" fillId="0" borderId="0" xfId="0" applyNumberFormat="1"/>
    <xf numFmtId="0" fontId="0" fillId="0" borderId="2" xfId="0" applyBorder="1"/>
    <xf numFmtId="0" fontId="0" fillId="0" borderId="3" xfId="0" applyBorder="1" applyAlignment="1">
      <alignment horizontal="left"/>
    </xf>
    <xf numFmtId="41" fontId="0" fillId="3" borderId="2" xfId="1" applyFont="1" applyFill="1" applyBorder="1"/>
    <xf numFmtId="0" fontId="9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NumberForma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mruColors>
      <color rgb="FF008001"/>
      <color rgb="FF001F60"/>
      <color rgb="FFB05BFF"/>
      <color rgb="FFA852EC"/>
      <color rgb="FF9846D7"/>
      <color rgb="FFAE57FD"/>
      <color rgb="FFA5A5A5"/>
      <color rgb="FFD1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71.949590393517" createdVersion="8" refreshedVersion="8" minRefreshableVersion="3" recordCount="9" xr:uid="{1015469F-C871-144D-B2C9-FA5AD8A50765}">
  <cacheSource type="worksheet">
    <worksheetSource ref="B8:F17" sheet="Task 1"/>
  </cacheSource>
  <cacheFields count="5">
    <cacheField name="Date" numFmtId="14">
      <sharedItems containsSemiMixedTypes="0" containsNonDate="0" containsDate="1" containsString="0" minDate="2025-01-01T00:00:00" maxDate="2025-01-02T00:00:00"/>
    </cacheField>
    <cacheField name="ID" numFmtId="0">
      <sharedItems/>
    </cacheField>
    <cacheField name="Region" numFmtId="0">
      <sharedItems count="3">
        <s v="JKT"/>
        <s v="SBY"/>
        <s v="MLG"/>
      </sharedItems>
    </cacheField>
    <cacheField name="Salesperson" numFmtId="0">
      <sharedItems count="3">
        <s v="Alexis"/>
        <s v="Johanes"/>
        <s v="Mekudo"/>
      </sharedItems>
    </cacheField>
    <cacheField name="Sales" numFmtId="41">
      <sharedItems containsSemiMixedTypes="0" containsString="0" containsNumber="1" minValue="3064" maxValue="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71.949591087963" createdVersion="8" refreshedVersion="8" minRefreshableVersion="3" recordCount="4" xr:uid="{609AC49E-9B06-8344-B326-D1E78AD7821E}">
  <cacheSource type="worksheet">
    <worksheetSource ref="B15:E19" sheet="Intro"/>
  </cacheSource>
  <cacheFields count="4">
    <cacheField name="ID" numFmtId="1">
      <sharedItems containsSemiMixedTypes="0" containsString="0" containsNumber="1" containsInteger="1" minValue="111" maxValue="114"/>
    </cacheField>
    <cacheField name="Sales Name" numFmtId="0">
      <sharedItems count="4">
        <s v="Yoko"/>
        <s v="Joko"/>
        <s v="Budi"/>
        <s v="Alexis"/>
      </sharedItems>
    </cacheField>
    <cacheField name="Location" numFmtId="0">
      <sharedItems count="2">
        <s v="Surabaya"/>
        <s v="Jakarta"/>
      </sharedItems>
    </cacheField>
    <cacheField name="Profit" numFmtId="0">
      <sharedItems containsSemiMixedTypes="0" containsString="0" containsNumber="1" containsInteger="1" minValue="100" maxValue="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d v="2025-01-01T00:00:00"/>
    <s v="T01"/>
    <x v="0"/>
    <x v="0"/>
    <n v="6000"/>
  </r>
  <r>
    <d v="2025-01-01T00:00:00"/>
    <s v="T01"/>
    <x v="1"/>
    <x v="1"/>
    <n v="3927"/>
  </r>
  <r>
    <d v="2025-01-01T00:00:00"/>
    <s v="T01"/>
    <x v="2"/>
    <x v="2"/>
    <n v="3821"/>
  </r>
  <r>
    <d v="2025-01-01T00:00:00"/>
    <s v="T02"/>
    <x v="1"/>
    <x v="0"/>
    <n v="3064"/>
  </r>
  <r>
    <d v="2025-01-01T00:00:00"/>
    <s v="T02"/>
    <x v="2"/>
    <x v="1"/>
    <n v="5951"/>
  </r>
  <r>
    <d v="2025-01-01T00:00:00"/>
    <s v="T02"/>
    <x v="0"/>
    <x v="2"/>
    <n v="5289"/>
  </r>
  <r>
    <d v="2025-01-01T00:00:00"/>
    <s v="T03"/>
    <x v="2"/>
    <x v="0"/>
    <n v="4335"/>
  </r>
  <r>
    <d v="2025-01-01T00:00:00"/>
    <s v="T03"/>
    <x v="0"/>
    <x v="1"/>
    <n v="4810.2857142857101"/>
  </r>
  <r>
    <d v="2025-01-01T00:00:00"/>
    <s v="T03"/>
    <x v="1"/>
    <x v="2"/>
    <n v="4881.642857142859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111"/>
    <x v="0"/>
    <x v="0"/>
    <n v="100"/>
  </r>
  <r>
    <n v="112"/>
    <x v="1"/>
    <x v="1"/>
    <n v="200"/>
  </r>
  <r>
    <n v="113"/>
    <x v="2"/>
    <x v="0"/>
    <n v="150"/>
  </r>
  <r>
    <n v="114"/>
    <x v="3"/>
    <x v="1"/>
    <n v="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1782D-A7AE-9C43-8BF7-A8F0AFE775C4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2:G26" firstHeaderRow="1" firstDataRow="2" firstDataCol="1"/>
  <pivotFields count="4">
    <pivotField numFmtId="1" showAll="0"/>
    <pivotField axis="axisCol" showAll="0">
      <items count="5">
        <item x="3"/>
        <item x="2"/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fi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1E10A8-5638-4A44-9EAD-6BB569801B0C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0:F25" firstHeaderRow="1" firstDataRow="2" firstDataCol="1"/>
  <pivotFields count="5">
    <pivotField numFmtId="14" showAll="0"/>
    <pivotField showAll="0"/>
    <pivotField axis="axisCol" showAll="0">
      <items count="4">
        <item x="0"/>
        <item x="2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numFmtId="41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Sales" fld="4" baseField="0" baseItem="0" numFmtId="4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D46186-17FC-4947-96F2-D2035B751713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0:F25" firstHeaderRow="1" firstDataRow="2" firstDataCol="1"/>
  <pivotFields count="5">
    <pivotField numFmtId="14" showAll="0"/>
    <pivotField showAll="0"/>
    <pivotField axis="axisCol" showAll="0">
      <items count="4">
        <item x="0"/>
        <item x="2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numFmtId="41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Sales" fld="4" baseField="0" baseItem="0" numFmtId="4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CE6065-A070-C342-9A4F-AB58E2F331CD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0:F25" firstHeaderRow="1" firstDataRow="2" firstDataCol="1"/>
  <pivotFields count="5">
    <pivotField numFmtId="14" showAll="0"/>
    <pivotField showAll="0"/>
    <pivotField axis="axisCol" showAll="0">
      <items count="4">
        <item x="0"/>
        <item x="2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numFmtId="41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Sales" fld="4" baseField="0" baseItem="0" numFmtId="4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EF4F-DD61-924E-AB0C-918CA9EE8676}">
  <dimension ref="B2:H59"/>
  <sheetViews>
    <sheetView showGridLines="0" topLeftCell="A10" zoomScale="136" zoomScaleNormal="240" workbookViewId="0">
      <selection activeCell="B30" sqref="B30"/>
    </sheetView>
  </sheetViews>
  <sheetFormatPr baseColWidth="10" defaultColWidth="10.83203125" defaultRowHeight="16" x14ac:dyDescent="0.2"/>
  <cols>
    <col min="1" max="1" width="4.5" customWidth="1"/>
    <col min="2" max="2" width="13" bestFit="1" customWidth="1"/>
    <col min="3" max="3" width="15.5" bestFit="1" customWidth="1"/>
    <col min="4" max="5" width="4.83203125" bestFit="1" customWidth="1"/>
    <col min="6" max="6" width="5.1640625" bestFit="1" customWidth="1"/>
    <col min="7" max="7" width="10.83203125" bestFit="1" customWidth="1"/>
  </cols>
  <sheetData>
    <row r="2" spans="2:8" s="7" customFormat="1" ht="26" customHeight="1" x14ac:dyDescent="0.2">
      <c r="B2" s="41" t="s">
        <v>28</v>
      </c>
      <c r="C2" s="41"/>
      <c r="D2" s="41"/>
      <c r="E2" s="41"/>
      <c r="F2" s="41"/>
    </row>
    <row r="3" spans="2:8" x14ac:dyDescent="0.2">
      <c r="B3" t="s">
        <v>4</v>
      </c>
    </row>
    <row r="5" spans="2:8" ht="16" customHeight="1" x14ac:dyDescent="0.2">
      <c r="B5" s="44" t="s">
        <v>29</v>
      </c>
      <c r="C5" s="44"/>
      <c r="D5" s="44"/>
      <c r="E5" s="44"/>
      <c r="F5" s="44"/>
      <c r="G5" s="44"/>
      <c r="H5" s="44"/>
    </row>
    <row r="6" spans="2:8" x14ac:dyDescent="0.2">
      <c r="B6" s="44"/>
      <c r="C6" s="44"/>
      <c r="D6" s="44"/>
      <c r="E6" s="44"/>
      <c r="F6" s="44"/>
      <c r="G6" s="44"/>
      <c r="H6" s="44"/>
    </row>
    <row r="7" spans="2:8" x14ac:dyDescent="0.2">
      <c r="B7" s="44"/>
      <c r="C7" s="44"/>
      <c r="D7" s="44"/>
      <c r="E7" s="44"/>
      <c r="F7" s="44"/>
      <c r="G7" s="44"/>
      <c r="H7" s="44"/>
    </row>
    <row r="8" spans="2:8" x14ac:dyDescent="0.2">
      <c r="B8" s="1" t="s">
        <v>1</v>
      </c>
      <c r="C8" s="1"/>
      <c r="F8" s="1"/>
    </row>
    <row r="9" spans="2:8" x14ac:dyDescent="0.2">
      <c r="B9" s="20" t="s">
        <v>30</v>
      </c>
      <c r="C9" s="1"/>
      <c r="E9" s="20"/>
      <c r="F9" s="1"/>
    </row>
    <row r="10" spans="2:8" ht="68" customHeight="1" x14ac:dyDescent="0.2">
      <c r="B10" s="43" t="s">
        <v>31</v>
      </c>
      <c r="C10" s="43"/>
      <c r="D10" s="43"/>
      <c r="E10" s="43"/>
      <c r="F10" s="43"/>
    </row>
    <row r="11" spans="2:8" x14ac:dyDescent="0.2">
      <c r="B11" s="20"/>
      <c r="C11" s="1"/>
      <c r="E11" s="20"/>
      <c r="F11" s="1"/>
    </row>
    <row r="12" spans="2:8" x14ac:dyDescent="0.2">
      <c r="B12" s="10" t="s">
        <v>0</v>
      </c>
      <c r="C12" s="8"/>
      <c r="D12" s="8"/>
      <c r="E12" s="8"/>
      <c r="F12" s="8"/>
    </row>
    <row r="13" spans="2:8" x14ac:dyDescent="0.2">
      <c r="B13" s="21" t="s">
        <v>37</v>
      </c>
      <c r="C13" s="8"/>
      <c r="D13" s="8"/>
      <c r="E13" s="8"/>
      <c r="F13" s="8"/>
    </row>
    <row r="14" spans="2:8" x14ac:dyDescent="0.2">
      <c r="B14" s="25" t="s">
        <v>9</v>
      </c>
      <c r="C14" s="8"/>
      <c r="D14" s="8"/>
      <c r="E14" s="8"/>
      <c r="F14" s="8"/>
    </row>
    <row r="15" spans="2:8" ht="17" x14ac:dyDescent="0.2">
      <c r="B15" s="28" t="s">
        <v>6</v>
      </c>
      <c r="C15" s="23" t="s">
        <v>7</v>
      </c>
      <c r="D15" s="23" t="s">
        <v>8</v>
      </c>
      <c r="E15" s="23" t="s">
        <v>5</v>
      </c>
      <c r="F15" s="8"/>
    </row>
    <row r="16" spans="2:8" ht="17" x14ac:dyDescent="0.2">
      <c r="B16" s="27">
        <v>111</v>
      </c>
      <c r="C16" s="22" t="s">
        <v>10</v>
      </c>
      <c r="D16" s="22" t="s">
        <v>14</v>
      </c>
      <c r="E16" s="22">
        <v>100</v>
      </c>
      <c r="F16" s="8"/>
    </row>
    <row r="17" spans="2:7" ht="17" x14ac:dyDescent="0.2">
      <c r="B17" s="27">
        <v>112</v>
      </c>
      <c r="C17" s="22" t="s">
        <v>11</v>
      </c>
      <c r="D17" s="22" t="s">
        <v>15</v>
      </c>
      <c r="E17" s="22">
        <v>200</v>
      </c>
      <c r="F17" s="8"/>
    </row>
    <row r="18" spans="2:7" ht="17" x14ac:dyDescent="0.2">
      <c r="B18" s="27">
        <v>113</v>
      </c>
      <c r="C18" s="22" t="s">
        <v>12</v>
      </c>
      <c r="D18" s="22" t="s">
        <v>14</v>
      </c>
      <c r="E18" s="22">
        <v>150</v>
      </c>
      <c r="F18" s="8"/>
    </row>
    <row r="19" spans="2:7" ht="17" x14ac:dyDescent="0.2">
      <c r="B19" s="27">
        <v>114</v>
      </c>
      <c r="C19" s="22" t="s">
        <v>13</v>
      </c>
      <c r="D19" s="22" t="s">
        <v>15</v>
      </c>
      <c r="E19" s="22">
        <v>200</v>
      </c>
      <c r="F19" s="8"/>
    </row>
    <row r="20" spans="2:7" x14ac:dyDescent="0.2">
      <c r="B20" s="26"/>
      <c r="C20" s="8"/>
      <c r="D20" s="8"/>
      <c r="E20" s="8"/>
      <c r="F20" s="8"/>
    </row>
    <row r="21" spans="2:7" x14ac:dyDescent="0.2">
      <c r="B21" s="25" t="s">
        <v>32</v>
      </c>
      <c r="C21" s="8"/>
      <c r="D21" s="8"/>
      <c r="E21" s="8"/>
      <c r="F21" s="8"/>
    </row>
    <row r="22" spans="2:7" x14ac:dyDescent="0.2">
      <c r="B22" s="34" t="s">
        <v>36</v>
      </c>
      <c r="C22" s="34" t="s">
        <v>35</v>
      </c>
    </row>
    <row r="23" spans="2:7" x14ac:dyDescent="0.2">
      <c r="B23" s="34" t="s">
        <v>33</v>
      </c>
      <c r="C23" t="s">
        <v>13</v>
      </c>
      <c r="D23" t="s">
        <v>12</v>
      </c>
      <c r="E23" t="s">
        <v>11</v>
      </c>
      <c r="F23" t="s">
        <v>10</v>
      </c>
      <c r="G23" t="s">
        <v>34</v>
      </c>
    </row>
    <row r="24" spans="2:7" x14ac:dyDescent="0.2">
      <c r="B24" s="35" t="s">
        <v>15</v>
      </c>
      <c r="C24" s="45">
        <v>200</v>
      </c>
      <c r="D24" s="45"/>
      <c r="E24" s="45">
        <v>200</v>
      </c>
      <c r="F24" s="45"/>
      <c r="G24" s="45">
        <v>400</v>
      </c>
    </row>
    <row r="25" spans="2:7" x14ac:dyDescent="0.2">
      <c r="B25" s="35" t="s">
        <v>14</v>
      </c>
      <c r="C25" s="45"/>
      <c r="D25" s="45">
        <v>150</v>
      </c>
      <c r="E25" s="45"/>
      <c r="F25" s="45">
        <v>100</v>
      </c>
      <c r="G25" s="45">
        <v>250</v>
      </c>
    </row>
    <row r="26" spans="2:7" x14ac:dyDescent="0.2">
      <c r="B26" s="35" t="s">
        <v>34</v>
      </c>
      <c r="C26" s="45">
        <v>200</v>
      </c>
      <c r="D26" s="45">
        <v>150</v>
      </c>
      <c r="E26" s="45">
        <v>200</v>
      </c>
      <c r="F26" s="45">
        <v>100</v>
      </c>
      <c r="G26" s="45">
        <v>650</v>
      </c>
    </row>
    <row r="27" spans="2:7" x14ac:dyDescent="0.2">
      <c r="E27" s="8"/>
      <c r="F27" s="8"/>
    </row>
    <row r="28" spans="2:7" x14ac:dyDescent="0.2">
      <c r="B28" s="25" t="s">
        <v>16</v>
      </c>
      <c r="E28" s="8"/>
      <c r="F28" s="8"/>
    </row>
    <row r="29" spans="2:7" x14ac:dyDescent="0.2">
      <c r="B29" s="29">
        <f>GETPIVOTDATA("Sum of Profit",B22,"Sales Name","Joko")</f>
        <v>200</v>
      </c>
      <c r="E29" s="8"/>
      <c r="F29" s="8"/>
    </row>
    <row r="30" spans="2:7" x14ac:dyDescent="0.2">
      <c r="B30" t="str">
        <f ca="1">_xlfn.FORMULATEXT(B29)</f>
        <v>=GETPIVOTDATA("Sum of Profit";B22;"Sales Name";"Joko")</v>
      </c>
      <c r="E30" s="8"/>
      <c r="F30" s="8"/>
    </row>
    <row r="31" spans="2:7" x14ac:dyDescent="0.2">
      <c r="E31" s="8"/>
      <c r="F31" s="8"/>
    </row>
    <row r="32" spans="2:7" x14ac:dyDescent="0.2">
      <c r="B32" s="10" t="s">
        <v>3</v>
      </c>
      <c r="E32" s="8"/>
      <c r="F32" s="8"/>
    </row>
    <row r="33" spans="2:7" x14ac:dyDescent="0.2">
      <c r="B33" s="18" t="s">
        <v>40</v>
      </c>
      <c r="E33" s="8"/>
      <c r="F33" s="8"/>
    </row>
    <row r="34" spans="2:7" x14ac:dyDescent="0.2">
      <c r="B34" s="9" t="s">
        <v>39</v>
      </c>
      <c r="E34" s="8"/>
      <c r="F34" s="8"/>
    </row>
    <row r="35" spans="2:7" x14ac:dyDescent="0.2">
      <c r="B35" t="s">
        <v>38</v>
      </c>
      <c r="E35" s="8"/>
      <c r="F35" s="8"/>
    </row>
    <row r="36" spans="2:7" x14ac:dyDescent="0.2">
      <c r="E36" s="8"/>
      <c r="F36" s="8"/>
    </row>
    <row r="37" spans="2:7" x14ac:dyDescent="0.2">
      <c r="F37" s="2"/>
      <c r="G37" s="3"/>
    </row>
    <row r="38" spans="2:7" x14ac:dyDescent="0.2">
      <c r="F38" s="2"/>
    </row>
    <row r="39" spans="2:7" x14ac:dyDescent="0.2">
      <c r="E39" s="4"/>
      <c r="F39" s="2"/>
    </row>
    <row r="40" spans="2:7" x14ac:dyDescent="0.2">
      <c r="F40" s="2"/>
    </row>
    <row r="41" spans="2:7" x14ac:dyDescent="0.2">
      <c r="F41" s="2"/>
    </row>
    <row r="42" spans="2:7" x14ac:dyDescent="0.2">
      <c r="F42" s="2"/>
    </row>
    <row r="43" spans="2:7" x14ac:dyDescent="0.2">
      <c r="F43" s="2"/>
    </row>
    <row r="44" spans="2:7" x14ac:dyDescent="0.2">
      <c r="F44" s="2"/>
    </row>
    <row r="45" spans="2:7" x14ac:dyDescent="0.2">
      <c r="B45" s="10"/>
      <c r="C45" s="8"/>
    </row>
    <row r="46" spans="2:7" x14ac:dyDescent="0.2">
      <c r="B46" s="10"/>
      <c r="C46" s="8"/>
    </row>
    <row r="47" spans="2:7" x14ac:dyDescent="0.2">
      <c r="B47" s="10"/>
      <c r="C47" s="8"/>
    </row>
    <row r="48" spans="2:7" x14ac:dyDescent="0.2">
      <c r="B48" s="10"/>
      <c r="C48" s="8"/>
    </row>
    <row r="49" spans="2:3" x14ac:dyDescent="0.2">
      <c r="B49" s="10"/>
      <c r="C49" s="8"/>
    </row>
    <row r="50" spans="2:3" x14ac:dyDescent="0.2">
      <c r="B50" s="8"/>
      <c r="C50" s="8"/>
    </row>
    <row r="51" spans="2:3" x14ac:dyDescent="0.2">
      <c r="C51" s="16"/>
    </row>
    <row r="52" spans="2:3" x14ac:dyDescent="0.2">
      <c r="C52" s="16"/>
    </row>
    <row r="53" spans="2:3" x14ac:dyDescent="0.2">
      <c r="C53" s="16"/>
    </row>
    <row r="58" spans="2:3" ht="22" x14ac:dyDescent="0.25">
      <c r="B58" s="5"/>
    </row>
    <row r="59" spans="2:3" ht="23" x14ac:dyDescent="0.25">
      <c r="B59" s="6"/>
    </row>
  </sheetData>
  <mergeCells count="3">
    <mergeCell ref="B2:F2"/>
    <mergeCell ref="B10:F10"/>
    <mergeCell ref="B5:H7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9C97-3C89-F547-BF7B-24D0F04ACA8B}">
  <dimension ref="B2:J29"/>
  <sheetViews>
    <sheetView showGridLines="0" zoomScaleNormal="160" workbookViewId="0">
      <selection activeCell="B29" sqref="B29:B33"/>
    </sheetView>
  </sheetViews>
  <sheetFormatPr baseColWidth="10" defaultRowHeight="16" x14ac:dyDescent="0.2"/>
  <cols>
    <col min="1" max="1" width="6.83203125" customWidth="1"/>
    <col min="2" max="2" width="13" bestFit="1" customWidth="1"/>
    <col min="3" max="3" width="15.5" bestFit="1" customWidth="1"/>
    <col min="4" max="5" width="8" bestFit="1" customWidth="1"/>
    <col min="6" max="6" width="10.832031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41" t="str">
        <f>Intro!B2</f>
        <v>Week 72 - One Day, One Function</v>
      </c>
      <c r="C2" s="41"/>
      <c r="D2" s="41"/>
      <c r="E2" s="41"/>
      <c r="F2" s="41"/>
    </row>
    <row r="3" spans="2:10" x14ac:dyDescent="0.2">
      <c r="B3" t="str">
        <f>Intro!B3</f>
        <v>In this session, you will learn new function!</v>
      </c>
    </row>
    <row r="5" spans="2:10" ht="16" customHeight="1" x14ac:dyDescent="0.2">
      <c r="B5" s="42" t="s">
        <v>42</v>
      </c>
      <c r="C5" s="42"/>
      <c r="D5" s="42"/>
      <c r="E5" s="42"/>
      <c r="F5" s="19"/>
      <c r="G5" s="19"/>
      <c r="H5" s="19"/>
      <c r="I5" s="19"/>
      <c r="J5" s="19"/>
    </row>
    <row r="6" spans="2:10" x14ac:dyDescent="0.2">
      <c r="B6" s="31"/>
      <c r="C6" s="12"/>
      <c r="D6" s="14"/>
      <c r="E6" s="14"/>
      <c r="F6" s="11"/>
      <c r="G6" s="11"/>
      <c r="H6" s="11"/>
      <c r="I6" s="11"/>
    </row>
    <row r="7" spans="2:10" x14ac:dyDescent="0.2">
      <c r="B7" s="13" t="s">
        <v>2</v>
      </c>
      <c r="E7" s="14"/>
      <c r="F7" s="11"/>
      <c r="G7" s="11"/>
      <c r="H7" s="11"/>
      <c r="I7" s="11"/>
    </row>
    <row r="8" spans="2:10" x14ac:dyDescent="0.2">
      <c r="B8" s="24" t="s">
        <v>17</v>
      </c>
      <c r="C8" s="24" t="s">
        <v>6</v>
      </c>
      <c r="D8" s="24" t="s">
        <v>18</v>
      </c>
      <c r="E8" s="24" t="s">
        <v>19</v>
      </c>
      <c r="F8" s="24" t="s">
        <v>25</v>
      </c>
      <c r="G8" s="15"/>
      <c r="H8" s="17"/>
      <c r="I8" s="16"/>
      <c r="J8" s="15"/>
    </row>
    <row r="9" spans="2:10" x14ac:dyDescent="0.2">
      <c r="B9" s="30">
        <v>45658</v>
      </c>
      <c r="C9" s="16" t="s">
        <v>22</v>
      </c>
      <c r="D9" s="15" t="s">
        <v>20</v>
      </c>
      <c r="E9" s="15" t="s">
        <v>13</v>
      </c>
      <c r="F9" s="32">
        <v>6000</v>
      </c>
      <c r="G9" s="15"/>
      <c r="H9" s="17"/>
      <c r="I9" s="16"/>
      <c r="J9" s="15"/>
    </row>
    <row r="10" spans="2:10" x14ac:dyDescent="0.2">
      <c r="B10" s="30">
        <v>45658</v>
      </c>
      <c r="C10" s="16" t="s">
        <v>22</v>
      </c>
      <c r="D10" s="15" t="s">
        <v>21</v>
      </c>
      <c r="E10" s="15" t="s">
        <v>26</v>
      </c>
      <c r="F10" s="32">
        <v>3927</v>
      </c>
    </row>
    <row r="11" spans="2:10" x14ac:dyDescent="0.2">
      <c r="B11" s="30">
        <v>45658</v>
      </c>
      <c r="C11" s="16" t="s">
        <v>22</v>
      </c>
      <c r="D11" s="15" t="s">
        <v>41</v>
      </c>
      <c r="E11" s="15" t="s">
        <v>27</v>
      </c>
      <c r="F11" s="32">
        <v>3821</v>
      </c>
    </row>
    <row r="12" spans="2:10" x14ac:dyDescent="0.2">
      <c r="B12" s="30">
        <v>45658</v>
      </c>
      <c r="C12" s="16" t="s">
        <v>23</v>
      </c>
      <c r="D12" s="15" t="s">
        <v>21</v>
      </c>
      <c r="E12" s="15" t="s">
        <v>13</v>
      </c>
      <c r="F12" s="32">
        <v>3064</v>
      </c>
    </row>
    <row r="13" spans="2:10" x14ac:dyDescent="0.2">
      <c r="B13" s="30">
        <v>45658</v>
      </c>
      <c r="C13" s="16" t="s">
        <v>23</v>
      </c>
      <c r="D13" s="15" t="s">
        <v>41</v>
      </c>
      <c r="E13" s="15" t="s">
        <v>26</v>
      </c>
      <c r="F13" s="32">
        <v>5951</v>
      </c>
    </row>
    <row r="14" spans="2:10" x14ac:dyDescent="0.2">
      <c r="B14" s="30">
        <v>45658</v>
      </c>
      <c r="C14" s="16" t="s">
        <v>23</v>
      </c>
      <c r="D14" s="15" t="s">
        <v>20</v>
      </c>
      <c r="E14" s="15" t="s">
        <v>27</v>
      </c>
      <c r="F14" s="32">
        <v>5289</v>
      </c>
    </row>
    <row r="15" spans="2:10" x14ac:dyDescent="0.2">
      <c r="B15" s="30">
        <v>45658</v>
      </c>
      <c r="C15" s="16" t="s">
        <v>24</v>
      </c>
      <c r="D15" s="15" t="s">
        <v>41</v>
      </c>
      <c r="E15" s="15" t="s">
        <v>13</v>
      </c>
      <c r="F15" s="32">
        <v>4335</v>
      </c>
    </row>
    <row r="16" spans="2:10" x14ac:dyDescent="0.2">
      <c r="B16" s="30">
        <v>45658</v>
      </c>
      <c r="C16" s="16" t="s">
        <v>24</v>
      </c>
      <c r="D16" s="15" t="s">
        <v>20</v>
      </c>
      <c r="E16" s="15" t="s">
        <v>26</v>
      </c>
      <c r="F16" s="32">
        <v>4810.2857142857101</v>
      </c>
    </row>
    <row r="17" spans="2:6" x14ac:dyDescent="0.2">
      <c r="B17" s="30">
        <v>45658</v>
      </c>
      <c r="C17" s="16" t="s">
        <v>24</v>
      </c>
      <c r="D17" s="15" t="s">
        <v>21</v>
      </c>
      <c r="E17" s="15" t="s">
        <v>27</v>
      </c>
      <c r="F17" s="32">
        <v>4881.6428571428596</v>
      </c>
    </row>
    <row r="18" spans="2:6" x14ac:dyDescent="0.2">
      <c r="F18" s="32"/>
    </row>
    <row r="19" spans="2:6" x14ac:dyDescent="0.2">
      <c r="B19" s="13" t="s">
        <v>32</v>
      </c>
    </row>
    <row r="20" spans="2:6" x14ac:dyDescent="0.2">
      <c r="B20" s="34" t="s">
        <v>43</v>
      </c>
      <c r="C20" s="34" t="s">
        <v>35</v>
      </c>
    </row>
    <row r="21" spans="2:6" x14ac:dyDescent="0.2">
      <c r="B21" s="34" t="s">
        <v>33</v>
      </c>
      <c r="C21" t="s">
        <v>20</v>
      </c>
      <c r="D21" t="s">
        <v>41</v>
      </c>
      <c r="E21" t="s">
        <v>21</v>
      </c>
      <c r="F21" t="s">
        <v>34</v>
      </c>
    </row>
    <row r="22" spans="2:6" x14ac:dyDescent="0.2">
      <c r="B22" s="35" t="s">
        <v>13</v>
      </c>
      <c r="C22" s="36">
        <v>6000</v>
      </c>
      <c r="D22" s="36">
        <v>4335</v>
      </c>
      <c r="E22" s="36">
        <v>3064</v>
      </c>
      <c r="F22" s="36">
        <v>13399</v>
      </c>
    </row>
    <row r="23" spans="2:6" x14ac:dyDescent="0.2">
      <c r="B23" s="35" t="s">
        <v>26</v>
      </c>
      <c r="C23" s="36">
        <v>4810.2857142857101</v>
      </c>
      <c r="D23" s="36">
        <v>5951</v>
      </c>
      <c r="E23" s="36">
        <v>3927</v>
      </c>
      <c r="F23" s="36">
        <v>14688.28571428571</v>
      </c>
    </row>
    <row r="24" spans="2:6" x14ac:dyDescent="0.2">
      <c r="B24" s="35" t="s">
        <v>27</v>
      </c>
      <c r="C24" s="36">
        <v>5289</v>
      </c>
      <c r="D24" s="36">
        <v>3821</v>
      </c>
      <c r="E24" s="36">
        <v>4881.6428571428596</v>
      </c>
      <c r="F24" s="36">
        <v>13991.642857142859</v>
      </c>
    </row>
    <row r="25" spans="2:6" x14ac:dyDescent="0.2">
      <c r="B25" s="35" t="s">
        <v>34</v>
      </c>
      <c r="C25" s="36">
        <v>16099.28571428571</v>
      </c>
      <c r="D25" s="36">
        <v>14107</v>
      </c>
      <c r="E25" s="36">
        <v>11872.642857142859</v>
      </c>
      <c r="F25" s="36">
        <v>42078.928571428565</v>
      </c>
    </row>
    <row r="27" spans="2:6" x14ac:dyDescent="0.2">
      <c r="B27" s="13" t="s">
        <v>16</v>
      </c>
    </row>
    <row r="28" spans="2:6" x14ac:dyDescent="0.2">
      <c r="B28" s="33">
        <f>GETPIVOTDATA("Sales",B20,"Salesperson","Alexis")</f>
        <v>13399</v>
      </c>
      <c r="C28">
        <f>GETPIVOTDATA("Sales",$B$20,"Salesperson","Alexis")</f>
        <v>13399</v>
      </c>
    </row>
    <row r="29" spans="2:6" x14ac:dyDescent="0.2">
      <c r="B29" s="3"/>
    </row>
  </sheetData>
  <mergeCells count="2">
    <mergeCell ref="B2:F2"/>
    <mergeCell ref="B5:E5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F59A-D2CA-7F4A-B33F-5A344BB20996}">
  <dimension ref="B2:J30"/>
  <sheetViews>
    <sheetView showGridLines="0" topLeftCell="A3" zoomScaleNormal="160" workbookViewId="0">
      <selection activeCell="C32" sqref="C32"/>
    </sheetView>
  </sheetViews>
  <sheetFormatPr baseColWidth="10" defaultRowHeight="16" x14ac:dyDescent="0.2"/>
  <cols>
    <col min="1" max="1" width="6.83203125" customWidth="1"/>
    <col min="2" max="2" width="13" bestFit="1" customWidth="1"/>
    <col min="3" max="3" width="15.5" bestFit="1" customWidth="1"/>
    <col min="4" max="5" width="8.1640625" bestFit="1" customWidth="1"/>
    <col min="6" max="6" width="10.832031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41" t="str">
        <f>Intro!B2</f>
        <v>Week 72 - One Day, One Function</v>
      </c>
      <c r="C2" s="41"/>
      <c r="D2" s="41"/>
      <c r="E2" s="41"/>
      <c r="F2" s="41"/>
    </row>
    <row r="3" spans="2:10" x14ac:dyDescent="0.2">
      <c r="B3" t="str">
        <f>Intro!B3</f>
        <v>In this session, you will learn new function!</v>
      </c>
    </row>
    <row r="5" spans="2:10" ht="16" customHeight="1" x14ac:dyDescent="0.2">
      <c r="B5" s="42" t="s">
        <v>45</v>
      </c>
      <c r="C5" s="42"/>
      <c r="D5" s="42"/>
      <c r="E5" s="42"/>
      <c r="F5" s="19"/>
      <c r="G5" s="19"/>
      <c r="H5" s="19"/>
      <c r="I5" s="19"/>
      <c r="J5" s="19"/>
    </row>
    <row r="6" spans="2:10" x14ac:dyDescent="0.2">
      <c r="B6" s="31"/>
      <c r="C6" s="12"/>
      <c r="D6" s="14"/>
      <c r="E6" s="14"/>
      <c r="F6" s="11"/>
      <c r="G6" s="11"/>
      <c r="H6" s="11"/>
      <c r="I6" s="11"/>
    </row>
    <row r="7" spans="2:10" x14ac:dyDescent="0.2">
      <c r="B7" s="13" t="s">
        <v>2</v>
      </c>
      <c r="E7" s="14"/>
      <c r="F7" s="11"/>
      <c r="G7" s="11"/>
      <c r="H7" s="11"/>
      <c r="I7" s="11"/>
    </row>
    <row r="8" spans="2:10" x14ac:dyDescent="0.2">
      <c r="B8" s="24" t="s">
        <v>17</v>
      </c>
      <c r="C8" s="24" t="s">
        <v>6</v>
      </c>
      <c r="D8" s="24" t="s">
        <v>18</v>
      </c>
      <c r="E8" s="24" t="s">
        <v>19</v>
      </c>
      <c r="F8" s="24" t="s">
        <v>25</v>
      </c>
      <c r="G8" s="15"/>
      <c r="H8" s="17"/>
      <c r="I8" s="16"/>
      <c r="J8" s="15"/>
    </row>
    <row r="9" spans="2:10" x14ac:dyDescent="0.2">
      <c r="B9" s="30">
        <v>45658</v>
      </c>
      <c r="C9" s="16" t="s">
        <v>22</v>
      </c>
      <c r="D9" s="15" t="s">
        <v>20</v>
      </c>
      <c r="E9" s="15" t="s">
        <v>13</v>
      </c>
      <c r="F9" s="32">
        <v>5287</v>
      </c>
      <c r="G9" s="15"/>
      <c r="H9" s="17"/>
      <c r="I9" s="16"/>
      <c r="J9" s="15"/>
    </row>
    <row r="10" spans="2:10" x14ac:dyDescent="0.2">
      <c r="B10" s="30">
        <v>45658</v>
      </c>
      <c r="C10" s="16" t="s">
        <v>22</v>
      </c>
      <c r="D10" s="15" t="s">
        <v>21</v>
      </c>
      <c r="E10" s="15" t="s">
        <v>26</v>
      </c>
      <c r="F10" s="32">
        <v>3927</v>
      </c>
    </row>
    <row r="11" spans="2:10" x14ac:dyDescent="0.2">
      <c r="B11" s="30">
        <v>45658</v>
      </c>
      <c r="C11" s="16" t="s">
        <v>22</v>
      </c>
      <c r="D11" s="15" t="s">
        <v>41</v>
      </c>
      <c r="E11" s="15" t="s">
        <v>27</v>
      </c>
      <c r="F11" s="32">
        <v>3821</v>
      </c>
    </row>
    <row r="12" spans="2:10" x14ac:dyDescent="0.2">
      <c r="B12" s="30">
        <v>45658</v>
      </c>
      <c r="C12" s="16" t="s">
        <v>23</v>
      </c>
      <c r="D12" s="15" t="s">
        <v>21</v>
      </c>
      <c r="E12" s="15" t="s">
        <v>13</v>
      </c>
      <c r="F12" s="32">
        <v>3064</v>
      </c>
    </row>
    <row r="13" spans="2:10" x14ac:dyDescent="0.2">
      <c r="B13" s="30">
        <v>45658</v>
      </c>
      <c r="C13" s="16" t="s">
        <v>23</v>
      </c>
      <c r="D13" s="15" t="s">
        <v>41</v>
      </c>
      <c r="E13" s="15" t="s">
        <v>26</v>
      </c>
      <c r="F13" s="32">
        <v>5951</v>
      </c>
    </row>
    <row r="14" spans="2:10" x14ac:dyDescent="0.2">
      <c r="B14" s="30">
        <v>45658</v>
      </c>
      <c r="C14" s="16" t="s">
        <v>23</v>
      </c>
      <c r="D14" s="15" t="s">
        <v>20</v>
      </c>
      <c r="E14" s="15" t="s">
        <v>27</v>
      </c>
      <c r="F14" s="32">
        <v>5289</v>
      </c>
    </row>
    <row r="15" spans="2:10" x14ac:dyDescent="0.2">
      <c r="B15" s="30">
        <v>45658</v>
      </c>
      <c r="C15" s="16" t="s">
        <v>24</v>
      </c>
      <c r="D15" s="15" t="s">
        <v>41</v>
      </c>
      <c r="E15" s="15" t="s">
        <v>13</v>
      </c>
      <c r="F15" s="32">
        <v>4335</v>
      </c>
    </row>
    <row r="16" spans="2:10" x14ac:dyDescent="0.2">
      <c r="B16" s="30">
        <v>45658</v>
      </c>
      <c r="C16" s="16" t="s">
        <v>24</v>
      </c>
      <c r="D16" s="15" t="s">
        <v>20</v>
      </c>
      <c r="E16" s="15" t="s">
        <v>26</v>
      </c>
      <c r="F16" s="32">
        <v>4810.2857142857101</v>
      </c>
    </row>
    <row r="17" spans="2:6" x14ac:dyDescent="0.2">
      <c r="B17" s="30">
        <v>45658</v>
      </c>
      <c r="C17" s="16" t="s">
        <v>24</v>
      </c>
      <c r="D17" s="15" t="s">
        <v>21</v>
      </c>
      <c r="E17" s="15" t="s">
        <v>27</v>
      </c>
      <c r="F17" s="32">
        <v>4881.6428571428596</v>
      </c>
    </row>
    <row r="18" spans="2:6" x14ac:dyDescent="0.2">
      <c r="F18" s="32"/>
    </row>
    <row r="19" spans="2:6" x14ac:dyDescent="0.2">
      <c r="B19" s="13" t="s">
        <v>32</v>
      </c>
    </row>
    <row r="20" spans="2:6" x14ac:dyDescent="0.2">
      <c r="B20" s="34" t="s">
        <v>43</v>
      </c>
      <c r="C20" s="34" t="s">
        <v>35</v>
      </c>
    </row>
    <row r="21" spans="2:6" x14ac:dyDescent="0.2">
      <c r="B21" s="34" t="s">
        <v>33</v>
      </c>
      <c r="C21" t="s">
        <v>20</v>
      </c>
      <c r="D21" t="s">
        <v>41</v>
      </c>
      <c r="E21" t="s">
        <v>21</v>
      </c>
      <c r="F21" t="s">
        <v>34</v>
      </c>
    </row>
    <row r="22" spans="2:6" x14ac:dyDescent="0.2">
      <c r="B22" s="35" t="s">
        <v>13</v>
      </c>
      <c r="C22" s="36">
        <v>6000</v>
      </c>
      <c r="D22" s="36">
        <v>4335</v>
      </c>
      <c r="E22" s="36">
        <v>3064</v>
      </c>
      <c r="F22" s="36">
        <v>13399</v>
      </c>
    </row>
    <row r="23" spans="2:6" x14ac:dyDescent="0.2">
      <c r="B23" s="35" t="s">
        <v>26</v>
      </c>
      <c r="C23" s="36">
        <v>4810.2857142857101</v>
      </c>
      <c r="D23" s="36">
        <v>5951</v>
      </c>
      <c r="E23" s="36">
        <v>3927</v>
      </c>
      <c r="F23" s="36">
        <v>14688.28571428571</v>
      </c>
    </row>
    <row r="24" spans="2:6" x14ac:dyDescent="0.2">
      <c r="B24" s="35" t="s">
        <v>27</v>
      </c>
      <c r="C24" s="36">
        <v>5289</v>
      </c>
      <c r="D24" s="36">
        <v>3821</v>
      </c>
      <c r="E24" s="36">
        <v>4881.6428571428596</v>
      </c>
      <c r="F24" s="36">
        <v>13991.642857142859</v>
      </c>
    </row>
    <row r="25" spans="2:6" x14ac:dyDescent="0.2">
      <c r="B25" s="35" t="s">
        <v>34</v>
      </c>
      <c r="C25" s="36">
        <v>16099.28571428571</v>
      </c>
      <c r="D25" s="36">
        <v>14107</v>
      </c>
      <c r="E25" s="36">
        <v>11872.642857142859</v>
      </c>
      <c r="F25" s="36">
        <v>42078.928571428565</v>
      </c>
    </row>
    <row r="27" spans="2:6" x14ac:dyDescent="0.2">
      <c r="B27" s="13" t="s">
        <v>16</v>
      </c>
    </row>
    <row r="28" spans="2:6" x14ac:dyDescent="0.2">
      <c r="C28" s="37" t="s">
        <v>19</v>
      </c>
      <c r="D28" s="37" t="s">
        <v>18</v>
      </c>
    </row>
    <row r="29" spans="2:6" x14ac:dyDescent="0.2">
      <c r="C29" s="38" t="s">
        <v>27</v>
      </c>
      <c r="D29" s="37" t="s">
        <v>20</v>
      </c>
    </row>
    <row r="30" spans="2:6" x14ac:dyDescent="0.2">
      <c r="B30" s="37" t="s">
        <v>44</v>
      </c>
      <c r="C30" s="39">
        <f>GETPIVOTDATA("Sales",B20,C28,C29,D28,D29)</f>
        <v>5289</v>
      </c>
    </row>
  </sheetData>
  <mergeCells count="2">
    <mergeCell ref="B2:F2"/>
    <mergeCell ref="B5:E5"/>
  </mergeCells>
  <dataValidations count="2">
    <dataValidation type="list" allowBlank="1" showInputMessage="1" showErrorMessage="1" sqref="C29" xr:uid="{F4DABB5B-CC87-574D-9A85-B26ADA57C057}">
      <formula1>$E$9:$E$17</formula1>
    </dataValidation>
    <dataValidation type="list" allowBlank="1" showInputMessage="1" showErrorMessage="1" sqref="D29" xr:uid="{5BAEACC3-25C6-8149-906A-09FAAD9B6BCE}">
      <formula1>$D$9:$D$17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CCEF-C374-ED4B-A26C-95CF1985D0DF}">
  <dimension ref="B2:J30"/>
  <sheetViews>
    <sheetView showGridLines="0" tabSelected="1" topLeftCell="A4" zoomScale="125" zoomScaleNormal="160" workbookViewId="0">
      <selection activeCell="C29" sqref="C29"/>
    </sheetView>
  </sheetViews>
  <sheetFormatPr baseColWidth="10" defaultRowHeight="16" x14ac:dyDescent="0.2"/>
  <cols>
    <col min="1" max="1" width="6.83203125" customWidth="1"/>
    <col min="2" max="2" width="13" bestFit="1" customWidth="1"/>
    <col min="3" max="3" width="15.5" bestFit="1" customWidth="1"/>
    <col min="4" max="5" width="8.1640625" bestFit="1" customWidth="1"/>
    <col min="6" max="6" width="10.832031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41" t="str">
        <f>Intro!B2</f>
        <v>Week 72 - One Day, One Function</v>
      </c>
      <c r="C2" s="41"/>
      <c r="D2" s="41"/>
      <c r="E2" s="41"/>
      <c r="F2" s="41"/>
    </row>
    <row r="3" spans="2:10" x14ac:dyDescent="0.2">
      <c r="B3" t="str">
        <f>Intro!B3</f>
        <v>In this session, you will learn new function!</v>
      </c>
    </row>
    <row r="5" spans="2:10" ht="16" customHeight="1" x14ac:dyDescent="0.2">
      <c r="B5" s="42" t="s">
        <v>46</v>
      </c>
      <c r="C5" s="42"/>
      <c r="D5" s="42"/>
      <c r="E5" s="42"/>
      <c r="F5" s="19"/>
      <c r="G5" s="19"/>
      <c r="H5" s="19"/>
      <c r="I5" s="19"/>
      <c r="J5" s="19"/>
    </row>
    <row r="6" spans="2:10" x14ac:dyDescent="0.2">
      <c r="B6" s="31"/>
      <c r="C6" s="12"/>
      <c r="D6" s="14"/>
      <c r="E6" s="14"/>
      <c r="F6" s="11"/>
      <c r="G6" s="11"/>
      <c r="H6" s="11"/>
      <c r="I6" s="11"/>
    </row>
    <row r="7" spans="2:10" x14ac:dyDescent="0.2">
      <c r="B7" s="13" t="s">
        <v>2</v>
      </c>
      <c r="E7" s="14"/>
      <c r="F7" s="11"/>
      <c r="G7" s="11"/>
      <c r="H7" s="11"/>
      <c r="I7" s="11"/>
    </row>
    <row r="8" spans="2:10" x14ac:dyDescent="0.2">
      <c r="B8" s="24" t="s">
        <v>17</v>
      </c>
      <c r="C8" s="24" t="s">
        <v>6</v>
      </c>
      <c r="D8" s="24" t="s">
        <v>18</v>
      </c>
      <c r="E8" s="24" t="s">
        <v>19</v>
      </c>
      <c r="F8" s="24" t="s">
        <v>25</v>
      </c>
      <c r="G8" s="15"/>
      <c r="H8" s="17"/>
      <c r="I8" s="16"/>
      <c r="J8" s="15"/>
    </row>
    <row r="9" spans="2:10" x14ac:dyDescent="0.2">
      <c r="B9" s="30">
        <v>45658</v>
      </c>
      <c r="C9" s="16" t="s">
        <v>22</v>
      </c>
      <c r="D9" s="15" t="s">
        <v>20</v>
      </c>
      <c r="E9" s="15" t="s">
        <v>13</v>
      </c>
      <c r="F9" s="32">
        <v>5287</v>
      </c>
      <c r="G9" s="15"/>
      <c r="H9" s="17"/>
      <c r="I9" s="16"/>
      <c r="J9" s="15"/>
    </row>
    <row r="10" spans="2:10" x14ac:dyDescent="0.2">
      <c r="B10" s="30">
        <v>45658</v>
      </c>
      <c r="C10" s="16" t="s">
        <v>22</v>
      </c>
      <c r="D10" s="15" t="s">
        <v>21</v>
      </c>
      <c r="E10" s="15" t="s">
        <v>26</v>
      </c>
      <c r="F10" s="32">
        <v>3927</v>
      </c>
    </row>
    <row r="11" spans="2:10" x14ac:dyDescent="0.2">
      <c r="B11" s="30">
        <v>45658</v>
      </c>
      <c r="C11" s="16" t="s">
        <v>22</v>
      </c>
      <c r="D11" s="15" t="s">
        <v>41</v>
      </c>
      <c r="E11" s="15" t="s">
        <v>27</v>
      </c>
      <c r="F11" s="32">
        <v>3821</v>
      </c>
    </row>
    <row r="12" spans="2:10" x14ac:dyDescent="0.2">
      <c r="B12" s="30">
        <v>45658</v>
      </c>
      <c r="C12" s="16" t="s">
        <v>23</v>
      </c>
      <c r="D12" s="15" t="s">
        <v>21</v>
      </c>
      <c r="E12" s="15" t="s">
        <v>13</v>
      </c>
      <c r="F12" s="32">
        <v>3064</v>
      </c>
    </row>
    <row r="13" spans="2:10" x14ac:dyDescent="0.2">
      <c r="B13" s="30">
        <v>45658</v>
      </c>
      <c r="C13" s="16" t="s">
        <v>23</v>
      </c>
      <c r="D13" s="15" t="s">
        <v>41</v>
      </c>
      <c r="E13" s="15" t="s">
        <v>26</v>
      </c>
      <c r="F13" s="32">
        <v>5951</v>
      </c>
    </row>
    <row r="14" spans="2:10" x14ac:dyDescent="0.2">
      <c r="B14" s="30">
        <v>45658</v>
      </c>
      <c r="C14" s="16" t="s">
        <v>23</v>
      </c>
      <c r="D14" s="15" t="s">
        <v>20</v>
      </c>
      <c r="E14" s="15" t="s">
        <v>27</v>
      </c>
      <c r="F14" s="32">
        <v>5289</v>
      </c>
    </row>
    <row r="15" spans="2:10" x14ac:dyDescent="0.2">
      <c r="B15" s="30">
        <v>45658</v>
      </c>
      <c r="C15" s="16" t="s">
        <v>24</v>
      </c>
      <c r="D15" s="15" t="s">
        <v>41</v>
      </c>
      <c r="E15" s="15" t="s">
        <v>13</v>
      </c>
      <c r="F15" s="32">
        <v>4335</v>
      </c>
    </row>
    <row r="16" spans="2:10" x14ac:dyDescent="0.2">
      <c r="B16" s="30">
        <v>45658</v>
      </c>
      <c r="C16" s="16" t="s">
        <v>24</v>
      </c>
      <c r="D16" s="15" t="s">
        <v>20</v>
      </c>
      <c r="E16" s="15" t="s">
        <v>26</v>
      </c>
      <c r="F16" s="32">
        <v>4810.2857142857101</v>
      </c>
    </row>
    <row r="17" spans="2:6" x14ac:dyDescent="0.2">
      <c r="B17" s="30">
        <v>45658</v>
      </c>
      <c r="C17" s="16" t="s">
        <v>24</v>
      </c>
      <c r="D17" s="15" t="s">
        <v>21</v>
      </c>
      <c r="E17" s="15" t="s">
        <v>27</v>
      </c>
      <c r="F17" s="32">
        <v>4881.6428571428596</v>
      </c>
    </row>
    <row r="18" spans="2:6" x14ac:dyDescent="0.2">
      <c r="D18" s="40" t="s">
        <v>48</v>
      </c>
      <c r="E18" s="40" t="s">
        <v>47</v>
      </c>
      <c r="F18" s="32"/>
    </row>
    <row r="19" spans="2:6" x14ac:dyDescent="0.2">
      <c r="B19" s="13" t="s">
        <v>32</v>
      </c>
    </row>
    <row r="20" spans="2:6" x14ac:dyDescent="0.2">
      <c r="B20" s="34" t="s">
        <v>43</v>
      </c>
      <c r="C20" s="34" t="s">
        <v>35</v>
      </c>
    </row>
    <row r="21" spans="2:6" x14ac:dyDescent="0.2">
      <c r="B21" s="34" t="s">
        <v>33</v>
      </c>
      <c r="C21" t="s">
        <v>20</v>
      </c>
      <c r="D21" t="s">
        <v>41</v>
      </c>
      <c r="E21" t="s">
        <v>21</v>
      </c>
      <c r="F21" t="s">
        <v>34</v>
      </c>
    </row>
    <row r="22" spans="2:6" x14ac:dyDescent="0.2">
      <c r="B22" s="35" t="s">
        <v>13</v>
      </c>
      <c r="C22" s="36">
        <v>6000</v>
      </c>
      <c r="D22" s="36">
        <v>4335</v>
      </c>
      <c r="E22" s="36">
        <v>3064</v>
      </c>
      <c r="F22" s="36">
        <v>13399</v>
      </c>
    </row>
    <row r="23" spans="2:6" x14ac:dyDescent="0.2">
      <c r="B23" s="35" t="s">
        <v>26</v>
      </c>
      <c r="C23" s="36">
        <v>4810.2857142857101</v>
      </c>
      <c r="D23" s="36">
        <v>5951</v>
      </c>
      <c r="E23" s="36">
        <v>3927</v>
      </c>
      <c r="F23" s="36">
        <v>14688.28571428571</v>
      </c>
    </row>
    <row r="24" spans="2:6" x14ac:dyDescent="0.2">
      <c r="B24" s="35" t="s">
        <v>27</v>
      </c>
      <c r="C24" s="36">
        <v>5289</v>
      </c>
      <c r="D24" s="36">
        <v>3821</v>
      </c>
      <c r="E24" s="36">
        <v>4881.6428571428596</v>
      </c>
      <c r="F24" s="36">
        <v>13991.642857142859</v>
      </c>
    </row>
    <row r="25" spans="2:6" x14ac:dyDescent="0.2">
      <c r="B25" s="35" t="s">
        <v>34</v>
      </c>
      <c r="C25" s="36">
        <v>16099.28571428571</v>
      </c>
      <c r="D25" s="36">
        <v>14107</v>
      </c>
      <c r="E25" s="36">
        <v>11872.642857142859</v>
      </c>
      <c r="F25" s="36">
        <v>42078.928571428565</v>
      </c>
    </row>
    <row r="27" spans="2:6" x14ac:dyDescent="0.2">
      <c r="B27" s="13" t="s">
        <v>16</v>
      </c>
    </row>
    <row r="28" spans="2:6" x14ac:dyDescent="0.2">
      <c r="C28" s="37" t="s">
        <v>19</v>
      </c>
      <c r="D28" s="37" t="s">
        <v>18</v>
      </c>
    </row>
    <row r="29" spans="2:6" x14ac:dyDescent="0.2">
      <c r="C29" s="38" t="s">
        <v>13</v>
      </c>
      <c r="D29" s="37" t="s">
        <v>20</v>
      </c>
    </row>
    <row r="30" spans="2:6" x14ac:dyDescent="0.2">
      <c r="B30" s="37" t="s">
        <v>44</v>
      </c>
      <c r="C30" s="39">
        <f>IFERROR(GETPIVOTDATA("Sales",B20,C28,C29,D28,D29),"Not Available")</f>
        <v>6000</v>
      </c>
    </row>
  </sheetData>
  <mergeCells count="2">
    <mergeCell ref="B2:F2"/>
    <mergeCell ref="B5:E5"/>
  </mergeCells>
  <dataValidations count="2">
    <dataValidation type="list" allowBlank="1" showInputMessage="1" showErrorMessage="1" sqref="C29" xr:uid="{B1432F5B-4DE7-244C-808F-98A9E8C43643}">
      <formula1>$E$9:$E$18</formula1>
    </dataValidation>
    <dataValidation type="list" allowBlank="1" showInputMessage="1" showErrorMessage="1" sqref="D29" xr:uid="{42CE8E57-37B9-A141-B8F0-AA9F13EC9748}">
      <formula1>$D$9:$D$18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2497FD-DB10-E447-9A18-66983ECDC8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</vt:lpstr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Kristanto Widodo</dc:creator>
  <cp:lastModifiedBy>Abel Kristanto Widodo</cp:lastModifiedBy>
  <dcterms:created xsi:type="dcterms:W3CDTF">2024-12-01T16:22:30Z</dcterms:created>
  <dcterms:modified xsi:type="dcterms:W3CDTF">2026-02-18T16:15:30Z</dcterms:modified>
</cp:coreProperties>
</file>