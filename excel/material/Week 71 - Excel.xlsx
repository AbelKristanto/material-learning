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krw/GithubRepo/Github/material-learning/excel/material/"/>
    </mc:Choice>
  </mc:AlternateContent>
  <xr:revisionPtr revIDLastSave="0" documentId="13_ncr:1_{3A8E53D2-7F9D-5247-8E22-8AF7B44CE523}" xr6:coauthVersionLast="47" xr6:coauthVersionMax="47" xr10:uidLastSave="{00000000-0000-0000-0000-000000000000}"/>
  <bookViews>
    <workbookView xWindow="0" yWindow="0" windowWidth="28800" windowHeight="18000" activeTab="3" xr2:uid="{459D0F48-FFE5-2A46-9D29-654008C8D2BD}"/>
  </bookViews>
  <sheets>
    <sheet name="Intro" sheetId="67" r:id="rId1"/>
    <sheet name="Task 1" sheetId="88" r:id="rId2"/>
    <sheet name="Task 2" sheetId="98" r:id="rId3"/>
    <sheet name="Task 3" sheetId="99" r:id="rId4"/>
  </sheets>
  <definedNames>
    <definedName name="_xlnm._FilterDatabase" localSheetId="0" hidden="1">Intro!#REF!</definedName>
    <definedName name="_xlnm.Criteria" localSheetId="0">Intro!#REF!</definedName>
    <definedName name="_xlnm.Extract" localSheetId="0">Intro!#REF!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99" l="1"/>
  <c r="E23" i="99"/>
  <c r="E24" i="99"/>
  <c r="E25" i="99"/>
  <c r="C25" i="99"/>
  <c r="D25" i="99" s="1"/>
  <c r="C22" i="99"/>
  <c r="D22" i="99" s="1"/>
  <c r="C23" i="99"/>
  <c r="D23" i="99" s="1"/>
  <c r="C24" i="99"/>
  <c r="D24" i="99" s="1"/>
  <c r="E20" i="99"/>
  <c r="E21" i="99"/>
  <c r="E19" i="99"/>
  <c r="C20" i="99"/>
  <c r="D20" i="99" s="1"/>
  <c r="C21" i="99"/>
  <c r="D21" i="99" s="1"/>
  <c r="C19" i="99"/>
  <c r="D19" i="99" s="1"/>
  <c r="C19" i="98"/>
  <c r="D19" i="98" s="1"/>
  <c r="C20" i="88"/>
  <c r="D20" i="88" s="1"/>
  <c r="C19" i="88"/>
  <c r="D19" i="88" s="1"/>
  <c r="B24" i="67"/>
  <c r="B3" i="99"/>
  <c r="B2" i="99"/>
  <c r="B3" i="98"/>
  <c r="B2" i="98"/>
  <c r="B3" i="88"/>
  <c r="B2" i="88"/>
  <c r="B25" i="67"/>
</calcChain>
</file>

<file path=xl/sharedStrings.xml><?xml version="1.0" encoding="utf-8"?>
<sst xmlns="http://schemas.openxmlformats.org/spreadsheetml/2006/main" count="125" uniqueCount="55">
  <si>
    <t>Example.</t>
  </si>
  <si>
    <t>How.</t>
  </si>
  <si>
    <t>Source Data</t>
  </si>
  <si>
    <t>Task.</t>
  </si>
  <si>
    <t>In this session, you will learn new function!</t>
  </si>
  <si>
    <t>Profit</t>
  </si>
  <si>
    <t>ID</t>
  </si>
  <si>
    <t>Sales Name</t>
  </si>
  <si>
    <t>Location</t>
  </si>
  <si>
    <t>Table.</t>
  </si>
  <si>
    <t>Yoko</t>
  </si>
  <si>
    <t>Joko</t>
  </si>
  <si>
    <t>Budi</t>
  </si>
  <si>
    <t>Alexis</t>
  </si>
  <si>
    <t>Surabaya</t>
  </si>
  <si>
    <t>Jakarta</t>
  </si>
  <si>
    <t>Result</t>
  </si>
  <si>
    <t>Result.</t>
  </si>
  <si>
    <t>Date</t>
  </si>
  <si>
    <t>Region</t>
  </si>
  <si>
    <t>Salesperson</t>
  </si>
  <si>
    <t>JKT</t>
  </si>
  <si>
    <t>SBY</t>
  </si>
  <si>
    <t>BDG</t>
  </si>
  <si>
    <t>T01</t>
  </si>
  <si>
    <t>T02</t>
  </si>
  <si>
    <t>T03</t>
  </si>
  <si>
    <t>T04</t>
  </si>
  <si>
    <t>T05</t>
  </si>
  <si>
    <t>T06</t>
  </si>
  <si>
    <t>T07</t>
  </si>
  <si>
    <r>
      <rPr>
        <sz val="12"/>
        <color theme="1"/>
        <rFont val="Calibri"/>
        <family val="2"/>
        <scheme val="minor"/>
      </rPr>
      <t xml:space="preserve">Today, you will learn how LARGE and SMALL help you </t>
    </r>
    <r>
      <rPr>
        <b/>
        <sz val="12"/>
        <color theme="1"/>
        <rFont val="Calibri"/>
        <family val="2"/>
        <scheme val="minor"/>
      </rPr>
      <t>identify top-performing</t>
    </r>
    <r>
      <rPr>
        <sz val="12"/>
        <color theme="1"/>
        <rFont val="Calibri"/>
        <family val="2"/>
        <scheme val="minor"/>
      </rPr>
      <t xml:space="preserve"> and</t>
    </r>
    <r>
      <rPr>
        <b/>
        <sz val="12"/>
        <color theme="1"/>
        <rFont val="Calibri"/>
        <family val="2"/>
        <scheme val="minor"/>
      </rPr>
      <t xml:space="preserve"> lowest-performing values </t>
    </r>
    <r>
      <rPr>
        <sz val="12"/>
        <color theme="1"/>
        <rFont val="Calibri"/>
        <family val="2"/>
        <scheme val="minor"/>
      </rPr>
      <t>from a dataset.</t>
    </r>
  </si>
  <si>
    <t>=LARGE(array, k)</t>
  </si>
  <si>
    <t>- array : range of numbers
- k : ranking position (1 = largest)</t>
  </si>
  <si>
    <t>=SMALL(array, k)</t>
  </si>
  <si>
    <t>- array : range of numbers
- k : ranking position (1 = smallest)</t>
  </si>
  <si>
    <t>Returns the lowest profit</t>
  </si>
  <si>
    <t>2. Identify best performer</t>
  </si>
  <si>
    <t>3. Top 3 Performance Summary</t>
  </si>
  <si>
    <t>Sales</t>
  </si>
  <si>
    <t>Top 1</t>
  </si>
  <si>
    <t>Top 2</t>
  </si>
  <si>
    <t>Nama</t>
  </si>
  <si>
    <t>Johanes</t>
  </si>
  <si>
    <t>Mekudo</t>
  </si>
  <si>
    <t>Kriyat</t>
  </si>
  <si>
    <t>Jemery</t>
  </si>
  <si>
    <t>Mesidek</t>
  </si>
  <si>
    <t>Abdunam</t>
  </si>
  <si>
    <t>Identify best performer</t>
  </si>
  <si>
    <t>Best Performer</t>
  </si>
  <si>
    <t>1. Return 2 lowest sales values</t>
  </si>
  <si>
    <t>Return 2 lowest sales values</t>
  </si>
  <si>
    <t>Sort</t>
  </si>
  <si>
    <t>Week 71 - One Day, One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</si>
</sst>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41" formatCode="_(* #,##0_);_(* \(#,##0\);_(* &quot;-&quot;_);_(@_)"/>
  </numFmts>
  <fonts count="9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.8"/>
      <color theme="1"/>
      <name val="Tahoma"/>
      <family val="2"/>
    </font>
    <font>
      <sz val="18"/>
      <color theme="1"/>
      <name val="Tahoma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6" fontId="0" fillId="0" borderId="0" xfId="0" applyNumberFormat="1"/>
    <xf numFmtId="41" fontId="0" fillId="0" borderId="0" xfId="1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quotePrefix="1" applyAlignment="1">
      <alignment horizontal="left" wrapText="1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center" wrapText="1"/>
    </xf>
    <xf numFmtId="0" fontId="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8" fillId="0" borderId="0" xfId="0" quotePrefix="1" applyFont="1" applyAlignment="1">
      <alignment horizontal="left"/>
    </xf>
    <xf numFmtId="0" fontId="0" fillId="0" borderId="0" xfId="0" quotePrefix="1" applyAlignment="1">
      <alignment vertical="top" wrapText="1"/>
    </xf>
    <xf numFmtId="0" fontId="0" fillId="0" borderId="0" xfId="0" quotePrefix="1" applyAlignment="1">
      <alignment vertical="top"/>
    </xf>
    <xf numFmtId="0" fontId="0" fillId="0" borderId="0" xfId="0" applyAlignment="1">
      <alignment vertical="top"/>
    </xf>
    <xf numFmtId="0" fontId="2" fillId="0" borderId="0" xfId="0" quotePrefix="1" applyFont="1"/>
    <xf numFmtId="20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0" fontId="2" fillId="0" borderId="0" xfId="0" quotePrefix="1" applyNumberFormat="1" applyFont="1" applyAlignment="1">
      <alignment horizontal="left"/>
    </xf>
    <xf numFmtId="1" fontId="0" fillId="0" borderId="0" xfId="1" quotePrefix="1" applyNumberFormat="1" applyFont="1" applyAlignment="1">
      <alignment horizontal="left"/>
    </xf>
    <xf numFmtId="1" fontId="0" fillId="0" borderId="0" xfId="1" quotePrefix="1" applyNumberFormat="1" applyFont="1" applyAlignment="1">
      <alignment horizontal="center" vertical="center"/>
    </xf>
    <xf numFmtId="20" fontId="0" fillId="0" borderId="1" xfId="0" quotePrefix="1" applyNumberFormat="1" applyBorder="1" applyAlignment="1">
      <alignment horizontal="center" vertical="center"/>
    </xf>
    <xf numFmtId="0" fontId="0" fillId="2" borderId="0" xfId="0" quotePrefix="1" applyFill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41" fontId="0" fillId="0" borderId="0" xfId="1" applyFont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41" fontId="0" fillId="0" borderId="0" xfId="1" applyFont="1" applyAlignment="1">
      <alignment horizontal="left"/>
    </xf>
    <xf numFmtId="41" fontId="0" fillId="0" borderId="2" xfId="1" applyFont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41" fontId="0" fillId="0" borderId="2" xfId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8001"/>
      <color rgb="FF001F60"/>
      <color rgb="FFB05BFF"/>
      <color rgb="FFA852EC"/>
      <color rgb="FF9846D7"/>
      <color rgb="FFAE57FD"/>
      <color rgb="FFA5A5A5"/>
      <color rgb="FFD1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EF4F-DD61-924E-AB0C-918CA9EE8676}">
  <dimension ref="B2:G52"/>
  <sheetViews>
    <sheetView showGridLines="0" topLeftCell="A10" zoomScale="136" zoomScaleNormal="240" workbookViewId="0">
      <selection activeCell="B32" sqref="B32"/>
    </sheetView>
  </sheetViews>
  <sheetFormatPr baseColWidth="10" defaultColWidth="10.83203125" defaultRowHeight="16" x14ac:dyDescent="0.2"/>
  <cols>
    <col min="1" max="1" width="4.5" customWidth="1"/>
    <col min="2" max="2" width="5.83203125" customWidth="1"/>
    <col min="3" max="3" width="12.6640625" bestFit="1" customWidth="1"/>
    <col min="4" max="4" width="14" customWidth="1"/>
    <col min="5" max="5" width="17.5" customWidth="1"/>
    <col min="6" max="6" width="10.33203125" customWidth="1"/>
    <col min="7" max="7" width="11" customWidth="1"/>
  </cols>
  <sheetData>
    <row r="2" spans="2:6" s="7" customFormat="1" ht="26" customHeight="1" x14ac:dyDescent="0.2">
      <c r="B2" s="36" t="s">
        <v>54</v>
      </c>
      <c r="C2" s="36"/>
      <c r="D2" s="36"/>
      <c r="E2" s="36"/>
      <c r="F2" s="36"/>
    </row>
    <row r="3" spans="2:6" x14ac:dyDescent="0.2">
      <c r="B3" t="s">
        <v>4</v>
      </c>
    </row>
    <row r="5" spans="2:6" ht="16" customHeight="1" x14ac:dyDescent="0.2">
      <c r="B5" s="37" t="s">
        <v>31</v>
      </c>
      <c r="C5" s="38"/>
      <c r="D5" s="38"/>
      <c r="E5" s="38"/>
      <c r="F5" s="38"/>
    </row>
    <row r="6" spans="2:6" x14ac:dyDescent="0.2">
      <c r="B6" s="38"/>
      <c r="C6" s="38"/>
      <c r="D6" s="38"/>
      <c r="E6" s="38"/>
      <c r="F6" s="38"/>
    </row>
    <row r="7" spans="2:6" x14ac:dyDescent="0.2">
      <c r="B7" s="38"/>
      <c r="C7" s="38"/>
      <c r="D7" s="38"/>
      <c r="E7" s="38"/>
      <c r="F7" s="38"/>
    </row>
    <row r="8" spans="2:6" x14ac:dyDescent="0.2">
      <c r="B8" s="1" t="s">
        <v>1</v>
      </c>
      <c r="C8" s="1"/>
      <c r="F8" s="1"/>
    </row>
    <row r="9" spans="2:6" x14ac:dyDescent="0.2">
      <c r="B9" s="23" t="s">
        <v>32</v>
      </c>
      <c r="C9" s="1"/>
      <c r="E9" s="23"/>
      <c r="F9" s="1"/>
    </row>
    <row r="10" spans="2:6" ht="34" customHeight="1" x14ac:dyDescent="0.2">
      <c r="B10" s="39" t="s">
        <v>33</v>
      </c>
      <c r="C10" s="39"/>
      <c r="D10" s="39"/>
      <c r="E10" s="39"/>
      <c r="F10" s="39"/>
    </row>
    <row r="11" spans="2:6" x14ac:dyDescent="0.2">
      <c r="B11" s="23" t="s">
        <v>34</v>
      </c>
      <c r="C11" s="1"/>
      <c r="E11" s="23"/>
      <c r="F11" s="1"/>
    </row>
    <row r="12" spans="2:6" ht="34" customHeight="1" x14ac:dyDescent="0.2">
      <c r="B12" s="39" t="s">
        <v>35</v>
      </c>
      <c r="C12" s="39"/>
      <c r="D12" s="39"/>
      <c r="E12" s="39"/>
      <c r="F12" s="39"/>
    </row>
    <row r="13" spans="2:6" x14ac:dyDescent="0.2">
      <c r="B13" s="21"/>
      <c r="C13" s="20"/>
      <c r="D13" s="20"/>
      <c r="E13" s="20"/>
      <c r="F13" s="20"/>
    </row>
    <row r="14" spans="2:6" x14ac:dyDescent="0.2">
      <c r="B14" s="10" t="s">
        <v>0</v>
      </c>
      <c r="C14" s="8"/>
      <c r="D14" s="8"/>
      <c r="E14" s="8"/>
      <c r="F14" s="8"/>
    </row>
    <row r="15" spans="2:6" x14ac:dyDescent="0.2">
      <c r="B15" s="24" t="s">
        <v>36</v>
      </c>
      <c r="C15" s="8"/>
      <c r="D15" s="8"/>
      <c r="E15" s="8"/>
      <c r="F15" s="8"/>
    </row>
    <row r="16" spans="2:6" x14ac:dyDescent="0.2">
      <c r="B16" s="28" t="s">
        <v>9</v>
      </c>
      <c r="C16" s="8"/>
      <c r="D16" s="8"/>
      <c r="E16" s="8"/>
      <c r="F16" s="8"/>
    </row>
    <row r="17" spans="2:6" ht="17" x14ac:dyDescent="0.2">
      <c r="B17" s="31" t="s">
        <v>6</v>
      </c>
      <c r="C17" s="26" t="s">
        <v>7</v>
      </c>
      <c r="D17" s="26" t="s">
        <v>8</v>
      </c>
      <c r="E17" s="26" t="s">
        <v>5</v>
      </c>
      <c r="F17" s="8"/>
    </row>
    <row r="18" spans="2:6" ht="17" x14ac:dyDescent="0.2">
      <c r="B18" s="30">
        <v>111</v>
      </c>
      <c r="C18" s="25" t="s">
        <v>10</v>
      </c>
      <c r="D18" s="25" t="s">
        <v>14</v>
      </c>
      <c r="E18" s="25">
        <v>100</v>
      </c>
      <c r="F18" s="8"/>
    </row>
    <row r="19" spans="2:6" ht="17" x14ac:dyDescent="0.2">
      <c r="B19" s="30">
        <v>112</v>
      </c>
      <c r="C19" s="25" t="s">
        <v>11</v>
      </c>
      <c r="D19" s="25" t="s">
        <v>15</v>
      </c>
      <c r="E19" s="25">
        <v>200</v>
      </c>
      <c r="F19" s="8"/>
    </row>
    <row r="20" spans="2:6" ht="17" x14ac:dyDescent="0.2">
      <c r="B20" s="30">
        <v>113</v>
      </c>
      <c r="C20" s="25" t="s">
        <v>12</v>
      </c>
      <c r="D20" s="25" t="s">
        <v>14</v>
      </c>
      <c r="E20" s="25">
        <v>150</v>
      </c>
      <c r="F20" s="8"/>
    </row>
    <row r="21" spans="2:6" ht="17" x14ac:dyDescent="0.2">
      <c r="B21" s="30">
        <v>114</v>
      </c>
      <c r="C21" s="25" t="s">
        <v>13</v>
      </c>
      <c r="D21" s="25" t="s">
        <v>15</v>
      </c>
      <c r="E21" s="25">
        <v>200</v>
      </c>
      <c r="F21" s="8"/>
    </row>
    <row r="22" spans="2:6" x14ac:dyDescent="0.2">
      <c r="B22" s="29"/>
      <c r="C22" s="8"/>
      <c r="D22" s="8"/>
      <c r="E22" s="8"/>
      <c r="F22" s="8"/>
    </row>
    <row r="23" spans="2:6" x14ac:dyDescent="0.2">
      <c r="B23" s="28" t="s">
        <v>17</v>
      </c>
      <c r="C23" s="8"/>
      <c r="D23" s="8"/>
      <c r="E23" s="8"/>
      <c r="F23" s="8"/>
    </row>
    <row r="24" spans="2:6" x14ac:dyDescent="0.2">
      <c r="B24" s="32">
        <f>SMALL(E18:E21,1)</f>
        <v>100</v>
      </c>
      <c r="C24" s="8"/>
      <c r="D24" s="8"/>
      <c r="E24" s="8"/>
      <c r="F24" s="8"/>
    </row>
    <row r="25" spans="2:6" x14ac:dyDescent="0.2">
      <c r="B25" s="9" t="str">
        <f ca="1">_xlfn.FORMULATEXT(B24)</f>
        <v>=SMALL(E18:E21;1)</v>
      </c>
      <c r="C25" s="8"/>
      <c r="D25" s="8"/>
      <c r="E25" s="8"/>
      <c r="F25" s="8"/>
    </row>
    <row r="26" spans="2:6" x14ac:dyDescent="0.2">
      <c r="B26" s="8"/>
      <c r="C26" s="8"/>
      <c r="D26" s="8"/>
      <c r="E26" s="8"/>
      <c r="F26" s="8"/>
    </row>
    <row r="27" spans="2:6" x14ac:dyDescent="0.2">
      <c r="B27" s="10" t="s">
        <v>3</v>
      </c>
      <c r="C27" s="8"/>
      <c r="D27" s="8"/>
      <c r="E27" s="8"/>
      <c r="F27" s="8"/>
    </row>
    <row r="28" spans="2:6" x14ac:dyDescent="0.2">
      <c r="B28" s="19" t="s">
        <v>51</v>
      </c>
      <c r="C28" s="8"/>
      <c r="D28" s="13"/>
      <c r="E28" s="8"/>
      <c r="F28" s="8"/>
    </row>
    <row r="29" spans="2:6" x14ac:dyDescent="0.2">
      <c r="B29" s="9" t="s">
        <v>37</v>
      </c>
      <c r="C29" s="8"/>
      <c r="D29" s="13"/>
      <c r="E29" s="8"/>
      <c r="F29" s="8"/>
    </row>
    <row r="30" spans="2:6" x14ac:dyDescent="0.2">
      <c r="B30" t="s">
        <v>38</v>
      </c>
      <c r="C30" s="8"/>
      <c r="D30" s="13"/>
      <c r="E30" s="8"/>
      <c r="F30" s="8"/>
    </row>
    <row r="31" spans="2:6" x14ac:dyDescent="0.2">
      <c r="B31" s="10"/>
      <c r="C31" s="8"/>
      <c r="D31" s="13"/>
      <c r="E31" s="8"/>
      <c r="F31" s="8"/>
    </row>
    <row r="32" spans="2:6" x14ac:dyDescent="0.2">
      <c r="B32" s="10"/>
      <c r="C32" s="8"/>
      <c r="D32" s="13"/>
      <c r="E32" s="8"/>
      <c r="F32" s="8"/>
    </row>
    <row r="33" spans="2:7" x14ac:dyDescent="0.2">
      <c r="B33" s="10"/>
      <c r="C33" s="8"/>
      <c r="D33" s="13"/>
      <c r="E33" s="8"/>
      <c r="F33" s="8"/>
    </row>
    <row r="34" spans="2:7" x14ac:dyDescent="0.2">
      <c r="B34" s="10"/>
      <c r="C34" s="8"/>
      <c r="D34" s="13"/>
      <c r="E34" s="8"/>
      <c r="F34" s="8"/>
    </row>
    <row r="35" spans="2:7" x14ac:dyDescent="0.2">
      <c r="B35" s="10"/>
      <c r="C35" s="8"/>
      <c r="D35" s="13"/>
      <c r="E35" s="8"/>
      <c r="F35" s="8"/>
    </row>
    <row r="36" spans="2:7" x14ac:dyDescent="0.2">
      <c r="B36" s="10"/>
      <c r="C36" s="8"/>
      <c r="D36" s="13"/>
      <c r="E36" s="8"/>
      <c r="F36" s="8"/>
    </row>
    <row r="37" spans="2:7" x14ac:dyDescent="0.2">
      <c r="B37" s="10"/>
      <c r="C37" s="8"/>
      <c r="D37" s="13"/>
      <c r="E37" s="8"/>
      <c r="F37" s="8"/>
    </row>
    <row r="38" spans="2:7" x14ac:dyDescent="0.2">
      <c r="B38" s="10"/>
      <c r="C38" s="8"/>
      <c r="D38" s="13"/>
      <c r="E38" s="8"/>
      <c r="F38" s="8"/>
    </row>
    <row r="39" spans="2:7" x14ac:dyDescent="0.2">
      <c r="B39" s="17"/>
      <c r="C39" s="17"/>
      <c r="D39" s="13"/>
      <c r="F39" s="2"/>
      <c r="G39" s="3"/>
    </row>
    <row r="40" spans="2:7" x14ac:dyDescent="0.2">
      <c r="B40" s="17"/>
      <c r="C40" s="17"/>
      <c r="D40" s="13"/>
      <c r="F40" s="2"/>
    </row>
    <row r="41" spans="2:7" x14ac:dyDescent="0.2">
      <c r="B41" s="17"/>
      <c r="C41" s="17"/>
      <c r="D41" s="13"/>
      <c r="E41" s="4"/>
      <c r="F41" s="2"/>
    </row>
    <row r="42" spans="2:7" x14ac:dyDescent="0.2">
      <c r="F42" s="2"/>
    </row>
    <row r="43" spans="2:7" x14ac:dyDescent="0.2">
      <c r="F43" s="2"/>
    </row>
    <row r="44" spans="2:7" x14ac:dyDescent="0.2">
      <c r="F44" s="2"/>
    </row>
    <row r="45" spans="2:7" x14ac:dyDescent="0.2">
      <c r="F45" s="2"/>
    </row>
    <row r="46" spans="2:7" ht="22" x14ac:dyDescent="0.25">
      <c r="B46" s="5"/>
      <c r="F46" s="2"/>
    </row>
    <row r="47" spans="2:7" ht="23" x14ac:dyDescent="0.25">
      <c r="B47" s="6"/>
    </row>
    <row r="48" spans="2:7" ht="23" x14ac:dyDescent="0.25">
      <c r="B48" s="6"/>
    </row>
    <row r="49" spans="2:2" ht="23" x14ac:dyDescent="0.25">
      <c r="B49" s="6"/>
    </row>
    <row r="50" spans="2:2" ht="23" x14ac:dyDescent="0.25">
      <c r="B50" s="6"/>
    </row>
    <row r="51" spans="2:2" ht="23" x14ac:dyDescent="0.25">
      <c r="B51" s="6"/>
    </row>
    <row r="52" spans="2:2" ht="23" x14ac:dyDescent="0.25">
      <c r="B52" s="6"/>
    </row>
  </sheetData>
  <mergeCells count="4">
    <mergeCell ref="B2:F2"/>
    <mergeCell ref="B5:F7"/>
    <mergeCell ref="B10:F10"/>
    <mergeCell ref="B12:F12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C97-3C89-F547-BF7B-24D0F04ACA8B}">
  <dimension ref="B2:J21"/>
  <sheetViews>
    <sheetView showGridLines="0" zoomScale="125" zoomScaleNormal="160" workbookViewId="0">
      <selection activeCell="B9" sqref="B9:B13"/>
    </sheetView>
  </sheetViews>
  <sheetFormatPr baseColWidth="10" defaultRowHeight="16" x14ac:dyDescent="0.2"/>
  <cols>
    <col min="1" max="1" width="6.83203125" customWidth="1"/>
    <col min="2" max="2" width="13.5" customWidth="1"/>
    <col min="3" max="3" width="13.1640625" bestFit="1" customWidth="1"/>
    <col min="4" max="5" width="12.66406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36" t="str">
        <f>Intro!B2</f>
        <v>Week 71 - One Day, One Function</v>
      </c>
      <c r="C2" s="36"/>
      <c r="D2" s="36"/>
      <c r="E2" s="36"/>
      <c r="F2" s="36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37" t="s">
        <v>52</v>
      </c>
      <c r="C5" s="37"/>
      <c r="D5" s="37"/>
      <c r="E5" s="37"/>
      <c r="F5" s="22"/>
      <c r="G5" s="22"/>
      <c r="H5" s="22"/>
      <c r="I5" s="22"/>
      <c r="J5" s="22"/>
    </row>
    <row r="6" spans="2:10" x14ac:dyDescent="0.2">
      <c r="B6" s="34"/>
      <c r="C6" s="12"/>
      <c r="D6" s="15"/>
      <c r="E6" s="15"/>
      <c r="F6" s="11"/>
      <c r="G6" s="11"/>
      <c r="H6" s="11"/>
      <c r="I6" s="11"/>
    </row>
    <row r="7" spans="2:10" x14ac:dyDescent="0.2">
      <c r="B7" s="14" t="s">
        <v>2</v>
      </c>
      <c r="E7" s="15"/>
      <c r="F7" s="11"/>
      <c r="G7" s="11"/>
      <c r="H7" s="11"/>
      <c r="I7" s="11"/>
    </row>
    <row r="8" spans="2:10" x14ac:dyDescent="0.2">
      <c r="B8" s="27" t="s">
        <v>18</v>
      </c>
      <c r="C8" s="27" t="s">
        <v>6</v>
      </c>
      <c r="D8" s="27" t="s">
        <v>19</v>
      </c>
      <c r="E8" s="27" t="s">
        <v>20</v>
      </c>
      <c r="F8" s="27" t="s">
        <v>39</v>
      </c>
      <c r="G8" s="16"/>
      <c r="H8" s="18"/>
      <c r="I8" s="17"/>
      <c r="J8" s="16"/>
    </row>
    <row r="9" spans="2:10" x14ac:dyDescent="0.2">
      <c r="B9" s="33">
        <v>45658</v>
      </c>
      <c r="C9" s="17" t="s">
        <v>24</v>
      </c>
      <c r="D9" s="16" t="s">
        <v>21</v>
      </c>
      <c r="E9" s="16" t="s">
        <v>13</v>
      </c>
      <c r="F9" s="35">
        <v>5287</v>
      </c>
      <c r="G9" s="16"/>
      <c r="H9" s="18"/>
      <c r="I9" s="17"/>
      <c r="J9" s="16"/>
    </row>
    <row r="10" spans="2:10" x14ac:dyDescent="0.2">
      <c r="B10" s="33">
        <v>45659</v>
      </c>
      <c r="C10" s="17" t="s">
        <v>25</v>
      </c>
      <c r="D10" s="16" t="s">
        <v>21</v>
      </c>
      <c r="E10" s="16" t="s">
        <v>43</v>
      </c>
      <c r="F10" s="35">
        <v>3927</v>
      </c>
    </row>
    <row r="11" spans="2:10" x14ac:dyDescent="0.2">
      <c r="B11" s="33">
        <v>45660</v>
      </c>
      <c r="C11" s="17" t="s">
        <v>26</v>
      </c>
      <c r="D11" s="16" t="s">
        <v>22</v>
      </c>
      <c r="E11" s="16" t="s">
        <v>44</v>
      </c>
      <c r="F11" s="35">
        <v>3821</v>
      </c>
    </row>
    <row r="12" spans="2:10" x14ac:dyDescent="0.2">
      <c r="B12" s="33">
        <v>45661</v>
      </c>
      <c r="C12" s="17" t="s">
        <v>27</v>
      </c>
      <c r="D12" s="16" t="s">
        <v>21</v>
      </c>
      <c r="E12" s="16" t="s">
        <v>45</v>
      </c>
      <c r="F12" s="35">
        <v>3064</v>
      </c>
    </row>
    <row r="13" spans="2:10" x14ac:dyDescent="0.2">
      <c r="B13" s="33">
        <v>45662</v>
      </c>
      <c r="C13" s="17" t="s">
        <v>28</v>
      </c>
      <c r="D13" s="16" t="s">
        <v>23</v>
      </c>
      <c r="E13" s="16" t="s">
        <v>46</v>
      </c>
      <c r="F13" s="35">
        <v>5951</v>
      </c>
    </row>
    <row r="14" spans="2:10" x14ac:dyDescent="0.2">
      <c r="B14" s="33">
        <v>45662</v>
      </c>
      <c r="C14" s="17" t="s">
        <v>29</v>
      </c>
      <c r="D14" s="16" t="s">
        <v>21</v>
      </c>
      <c r="E14" s="16" t="s">
        <v>47</v>
      </c>
      <c r="F14" s="35">
        <v>5289</v>
      </c>
    </row>
    <row r="15" spans="2:10" x14ac:dyDescent="0.2">
      <c r="B15" s="33">
        <v>45662</v>
      </c>
      <c r="C15" s="17" t="s">
        <v>30</v>
      </c>
      <c r="D15" s="16" t="s">
        <v>23</v>
      </c>
      <c r="E15" s="16" t="s">
        <v>48</v>
      </c>
      <c r="F15" s="35">
        <v>4335</v>
      </c>
    </row>
    <row r="18" spans="2:4" x14ac:dyDescent="0.2">
      <c r="B18" s="14" t="s">
        <v>16</v>
      </c>
      <c r="C18" s="42" t="s">
        <v>39</v>
      </c>
      <c r="D18" s="42" t="s">
        <v>42</v>
      </c>
    </row>
    <row r="19" spans="2:4" x14ac:dyDescent="0.2">
      <c r="B19" s="41" t="s">
        <v>40</v>
      </c>
      <c r="C19" s="44">
        <f>SMALL(F9:F15,1)</f>
        <v>3064</v>
      </c>
      <c r="D19" s="43" t="str">
        <f>IFERROR(_xlfn.XLOOKUP(C19,$F$9:$F$15,$E$9:$E$15),"")</f>
        <v>Kriyat</v>
      </c>
    </row>
    <row r="20" spans="2:4" x14ac:dyDescent="0.2">
      <c r="B20" s="41" t="s">
        <v>41</v>
      </c>
      <c r="C20" s="44">
        <f>SMALL(F9:F15,2)</f>
        <v>3821</v>
      </c>
      <c r="D20" s="43" t="str">
        <f t="shared" ref="D20" si="0">IFERROR(_xlfn.XLOOKUP(C20,$F$9:$F$15,$E$9:$E$15),"")</f>
        <v>Mekudo</v>
      </c>
    </row>
    <row r="21" spans="2:4" x14ac:dyDescent="0.2">
      <c r="B21" s="40"/>
    </row>
  </sheetData>
  <mergeCells count="2">
    <mergeCell ref="B2:F2"/>
    <mergeCell ref="B5:E5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14F6-53FA-3246-8E4D-1C6BDA2010F4}">
  <dimension ref="B2:J20"/>
  <sheetViews>
    <sheetView showGridLines="0" zoomScale="125" zoomScaleNormal="160" workbookViewId="0">
      <selection activeCell="C20" sqref="C20"/>
    </sheetView>
  </sheetViews>
  <sheetFormatPr baseColWidth="10" defaultRowHeight="16" x14ac:dyDescent="0.2"/>
  <cols>
    <col min="1" max="1" width="6.83203125" customWidth="1"/>
    <col min="2" max="2" width="17.6640625" customWidth="1"/>
    <col min="3" max="3" width="13.1640625" bestFit="1" customWidth="1"/>
    <col min="4" max="5" width="12.66406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36" t="str">
        <f>Intro!B2</f>
        <v>Week 71 - One Day, One Function</v>
      </c>
      <c r="C2" s="36"/>
      <c r="D2" s="36"/>
      <c r="E2" s="36"/>
      <c r="F2" s="36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37" t="s">
        <v>49</v>
      </c>
      <c r="C5" s="37"/>
      <c r="D5" s="37"/>
      <c r="E5" s="37"/>
      <c r="F5" s="22"/>
      <c r="G5" s="22"/>
      <c r="H5" s="22"/>
      <c r="I5" s="22"/>
      <c r="J5" s="22"/>
    </row>
    <row r="6" spans="2:10" x14ac:dyDescent="0.2">
      <c r="B6" s="34"/>
      <c r="C6" s="12"/>
      <c r="D6" s="15"/>
      <c r="E6" s="15"/>
      <c r="F6" s="11"/>
      <c r="G6" s="11"/>
      <c r="H6" s="11"/>
      <c r="I6" s="11"/>
    </row>
    <row r="7" spans="2:10" x14ac:dyDescent="0.2">
      <c r="B7" s="14" t="s">
        <v>2</v>
      </c>
      <c r="E7" s="15"/>
      <c r="F7" s="11"/>
      <c r="G7" s="11"/>
      <c r="H7" s="11"/>
      <c r="I7" s="11"/>
    </row>
    <row r="8" spans="2:10" x14ac:dyDescent="0.2">
      <c r="B8" s="27" t="s">
        <v>18</v>
      </c>
      <c r="C8" s="27" t="s">
        <v>6</v>
      </c>
      <c r="D8" s="27" t="s">
        <v>19</v>
      </c>
      <c r="E8" s="27" t="s">
        <v>20</v>
      </c>
      <c r="F8" s="27" t="s">
        <v>39</v>
      </c>
      <c r="G8" s="16"/>
      <c r="H8" s="18"/>
      <c r="I8" s="17"/>
      <c r="J8" s="16"/>
    </row>
    <row r="9" spans="2:10" x14ac:dyDescent="0.2">
      <c r="B9" s="33">
        <v>45658</v>
      </c>
      <c r="C9" s="17" t="s">
        <v>24</v>
      </c>
      <c r="D9" s="16" t="s">
        <v>21</v>
      </c>
      <c r="E9" s="16" t="s">
        <v>13</v>
      </c>
      <c r="F9" s="35">
        <v>5287</v>
      </c>
      <c r="G9" s="16"/>
      <c r="H9" s="18"/>
      <c r="I9" s="17"/>
      <c r="J9" s="16"/>
    </row>
    <row r="10" spans="2:10" x14ac:dyDescent="0.2">
      <c r="B10" s="33">
        <v>45659</v>
      </c>
      <c r="C10" s="17" t="s">
        <v>25</v>
      </c>
      <c r="D10" s="16" t="s">
        <v>21</v>
      </c>
      <c r="E10" s="16" t="s">
        <v>43</v>
      </c>
      <c r="F10" s="35">
        <v>3927</v>
      </c>
    </row>
    <row r="11" spans="2:10" x14ac:dyDescent="0.2">
      <c r="B11" s="33">
        <v>45660</v>
      </c>
      <c r="C11" s="17" t="s">
        <v>26</v>
      </c>
      <c r="D11" s="16" t="s">
        <v>22</v>
      </c>
      <c r="E11" s="16" t="s">
        <v>44</v>
      </c>
      <c r="F11" s="35">
        <v>3821</v>
      </c>
    </row>
    <row r="12" spans="2:10" x14ac:dyDescent="0.2">
      <c r="B12" s="33">
        <v>45661</v>
      </c>
      <c r="C12" s="17" t="s">
        <v>27</v>
      </c>
      <c r="D12" s="16" t="s">
        <v>21</v>
      </c>
      <c r="E12" s="16" t="s">
        <v>45</v>
      </c>
      <c r="F12" s="35">
        <v>3064</v>
      </c>
    </row>
    <row r="13" spans="2:10" x14ac:dyDescent="0.2">
      <c r="B13" s="33">
        <v>45662</v>
      </c>
      <c r="C13" s="17" t="s">
        <v>28</v>
      </c>
      <c r="D13" s="16" t="s">
        <v>23</v>
      </c>
      <c r="E13" s="16" t="s">
        <v>46</v>
      </c>
      <c r="F13" s="35">
        <v>5951</v>
      </c>
    </row>
    <row r="14" spans="2:10" x14ac:dyDescent="0.2">
      <c r="B14" s="33">
        <v>45662</v>
      </c>
      <c r="C14" s="17" t="s">
        <v>29</v>
      </c>
      <c r="D14" s="16" t="s">
        <v>21</v>
      </c>
      <c r="E14" s="16" t="s">
        <v>47</v>
      </c>
      <c r="F14" s="35">
        <v>5289</v>
      </c>
    </row>
    <row r="15" spans="2:10" x14ac:dyDescent="0.2">
      <c r="B15" s="33">
        <v>45662</v>
      </c>
      <c r="C15" s="17" t="s">
        <v>30</v>
      </c>
      <c r="D15" s="16" t="s">
        <v>23</v>
      </c>
      <c r="E15" s="16" t="s">
        <v>48</v>
      </c>
      <c r="F15" s="35">
        <v>4335</v>
      </c>
    </row>
    <row r="18" spans="2:4" x14ac:dyDescent="0.2">
      <c r="B18" s="14" t="s">
        <v>16</v>
      </c>
      <c r="C18" s="42" t="s">
        <v>39</v>
      </c>
      <c r="D18" s="42" t="s">
        <v>42</v>
      </c>
    </row>
    <row r="19" spans="2:4" x14ac:dyDescent="0.2">
      <c r="B19" s="41" t="s">
        <v>50</v>
      </c>
      <c r="C19" s="44">
        <f>LARGE(F9:F15,1)</f>
        <v>5951</v>
      </c>
      <c r="D19" s="43" t="str">
        <f>IFERROR(_xlfn.XLOOKUP(C19,$F$9:$F$15,$E$9:$E$15),"")</f>
        <v>Jemery</v>
      </c>
    </row>
    <row r="20" spans="2:4" x14ac:dyDescent="0.2">
      <c r="B20" s="40"/>
    </row>
  </sheetData>
  <mergeCells count="2">
    <mergeCell ref="B2:F2"/>
    <mergeCell ref="B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6F3F-C697-CB4A-8E6B-760D03AC6295}">
  <dimension ref="B2:J25"/>
  <sheetViews>
    <sheetView showGridLines="0" tabSelected="1" zoomScale="125" zoomScaleNormal="160" workbookViewId="0">
      <selection activeCell="G21" sqref="G21"/>
    </sheetView>
  </sheetViews>
  <sheetFormatPr baseColWidth="10" defaultRowHeight="16" x14ac:dyDescent="0.2"/>
  <cols>
    <col min="1" max="1" width="6.83203125" customWidth="1"/>
    <col min="2" max="2" width="17.6640625" customWidth="1"/>
    <col min="3" max="3" width="13.1640625" bestFit="1" customWidth="1"/>
    <col min="4" max="5" width="12.66406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36" t="str">
        <f>Intro!B2</f>
        <v>Week 71 - One Day, One Function</v>
      </c>
      <c r="C2" s="36"/>
      <c r="D2" s="36"/>
      <c r="E2" s="36"/>
      <c r="F2" s="36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37" t="s">
        <v>49</v>
      </c>
      <c r="C5" s="37"/>
      <c r="D5" s="37"/>
      <c r="E5" s="37"/>
      <c r="F5" s="22"/>
      <c r="G5" s="22"/>
      <c r="H5" s="22"/>
      <c r="I5" s="22"/>
      <c r="J5" s="22"/>
    </row>
    <row r="6" spans="2:10" x14ac:dyDescent="0.2">
      <c r="B6" s="34"/>
      <c r="C6" s="12"/>
      <c r="D6" s="15"/>
      <c r="E6" s="15"/>
      <c r="F6" s="11"/>
      <c r="G6" s="11"/>
      <c r="H6" s="11"/>
      <c r="I6" s="11"/>
    </row>
    <row r="7" spans="2:10" x14ac:dyDescent="0.2">
      <c r="B7" s="14" t="s">
        <v>2</v>
      </c>
      <c r="E7" s="15"/>
      <c r="F7" s="11"/>
      <c r="G7" s="11"/>
      <c r="H7" s="11"/>
      <c r="I7" s="11"/>
    </row>
    <row r="8" spans="2:10" x14ac:dyDescent="0.2">
      <c r="B8" s="27" t="s">
        <v>18</v>
      </c>
      <c r="C8" s="27" t="s">
        <v>6</v>
      </c>
      <c r="D8" s="27" t="s">
        <v>19</v>
      </c>
      <c r="E8" s="27" t="s">
        <v>20</v>
      </c>
      <c r="F8" s="27" t="s">
        <v>39</v>
      </c>
      <c r="G8" s="16"/>
      <c r="H8" s="18"/>
      <c r="I8" s="17"/>
      <c r="J8" s="16"/>
    </row>
    <row r="9" spans="2:10" x14ac:dyDescent="0.2">
      <c r="B9" s="33">
        <v>45658</v>
      </c>
      <c r="C9" s="17" t="s">
        <v>24</v>
      </c>
      <c r="D9" s="16" t="s">
        <v>21</v>
      </c>
      <c r="E9" s="16" t="s">
        <v>13</v>
      </c>
      <c r="F9" s="35">
        <v>5287</v>
      </c>
      <c r="G9" s="16"/>
      <c r="H9" s="18"/>
      <c r="I9" s="17"/>
      <c r="J9" s="16"/>
    </row>
    <row r="10" spans="2:10" x14ac:dyDescent="0.2">
      <c r="B10" s="33">
        <v>45659</v>
      </c>
      <c r="C10" s="17" t="s">
        <v>25</v>
      </c>
      <c r="D10" s="16" t="s">
        <v>21</v>
      </c>
      <c r="E10" s="16" t="s">
        <v>43</v>
      </c>
      <c r="F10" s="35">
        <v>3927</v>
      </c>
    </row>
    <row r="11" spans="2:10" x14ac:dyDescent="0.2">
      <c r="B11" s="33">
        <v>45660</v>
      </c>
      <c r="C11" s="17" t="s">
        <v>26</v>
      </c>
      <c r="D11" s="16" t="s">
        <v>22</v>
      </c>
      <c r="E11" s="16" t="s">
        <v>44</v>
      </c>
      <c r="F11" s="35">
        <v>3821</v>
      </c>
    </row>
    <row r="12" spans="2:10" x14ac:dyDescent="0.2">
      <c r="B12" s="33">
        <v>45661</v>
      </c>
      <c r="C12" s="17" t="s">
        <v>27</v>
      </c>
      <c r="D12" s="16" t="s">
        <v>21</v>
      </c>
      <c r="E12" s="16" t="s">
        <v>45</v>
      </c>
      <c r="F12" s="35">
        <v>3064</v>
      </c>
    </row>
    <row r="13" spans="2:10" x14ac:dyDescent="0.2">
      <c r="B13" s="33">
        <v>45662</v>
      </c>
      <c r="C13" s="17" t="s">
        <v>28</v>
      </c>
      <c r="D13" s="16" t="s">
        <v>23</v>
      </c>
      <c r="E13" s="16" t="s">
        <v>46</v>
      </c>
      <c r="F13" s="35">
        <v>5951</v>
      </c>
    </row>
    <row r="14" spans="2:10" x14ac:dyDescent="0.2">
      <c r="B14" s="33">
        <v>45662</v>
      </c>
      <c r="C14" s="17" t="s">
        <v>29</v>
      </c>
      <c r="D14" s="16" t="s">
        <v>21</v>
      </c>
      <c r="E14" s="16" t="s">
        <v>47</v>
      </c>
      <c r="F14" s="35">
        <v>5289</v>
      </c>
    </row>
    <row r="15" spans="2:10" x14ac:dyDescent="0.2">
      <c r="B15" s="33">
        <v>45662</v>
      </c>
      <c r="C15" s="17" t="s">
        <v>30</v>
      </c>
      <c r="D15" s="16" t="s">
        <v>23</v>
      </c>
      <c r="E15" s="16" t="s">
        <v>48</v>
      </c>
      <c r="F15" s="35">
        <v>4335</v>
      </c>
    </row>
    <row r="17" spans="2:5" x14ac:dyDescent="0.2">
      <c r="B17" s="14" t="s">
        <v>16</v>
      </c>
    </row>
    <row r="18" spans="2:5" x14ac:dyDescent="0.2">
      <c r="B18" s="42" t="s">
        <v>53</v>
      </c>
      <c r="C18" s="42" t="s">
        <v>39</v>
      </c>
      <c r="D18" s="42" t="s">
        <v>42</v>
      </c>
    </row>
    <row r="19" spans="2:5" x14ac:dyDescent="0.2">
      <c r="B19" s="41">
        <v>1</v>
      </c>
      <c r="C19" s="44">
        <f>LARGE($F$9:$F$15,B19)</f>
        <v>5951</v>
      </c>
      <c r="D19" s="43" t="str">
        <f>IFERROR(_xlfn.XLOOKUP(C19,$F$9:$F$15,$E$9:$E$15),"")</f>
        <v>Jemery</v>
      </c>
      <c r="E19">
        <f>LARGE($F$9:$F$15,ROW(A1))</f>
        <v>5951</v>
      </c>
    </row>
    <row r="20" spans="2:5" x14ac:dyDescent="0.2">
      <c r="B20" s="45">
        <v>2</v>
      </c>
      <c r="C20" s="44">
        <f t="shared" ref="C20:C25" si="0">LARGE($F$9:$F$15,B20)</f>
        <v>5289</v>
      </c>
      <c r="D20" s="43" t="str">
        <f t="shared" ref="D20:D25" si="1">IFERROR(_xlfn.XLOOKUP(C20,$F$9:$F$15,$E$9:$E$15),"")</f>
        <v>Mesidek</v>
      </c>
      <c r="E20">
        <f t="shared" ref="E20:E25" si="2">LARGE($F$9:$F$15,ROW(A2))</f>
        <v>5289</v>
      </c>
    </row>
    <row r="21" spans="2:5" x14ac:dyDescent="0.2">
      <c r="B21" s="45">
        <v>3</v>
      </c>
      <c r="C21" s="44">
        <f t="shared" si="0"/>
        <v>5287</v>
      </c>
      <c r="D21" s="43" t="str">
        <f t="shared" si="1"/>
        <v>Alexis</v>
      </c>
      <c r="E21">
        <f t="shared" si="2"/>
        <v>5287</v>
      </c>
    </row>
    <row r="22" spans="2:5" x14ac:dyDescent="0.2">
      <c r="B22" s="45">
        <v>4</v>
      </c>
      <c r="C22" s="44">
        <f t="shared" si="0"/>
        <v>4335</v>
      </c>
      <c r="D22" s="43" t="str">
        <f t="shared" si="1"/>
        <v>Abdunam</v>
      </c>
      <c r="E22">
        <f t="shared" si="2"/>
        <v>4335</v>
      </c>
    </row>
    <row r="23" spans="2:5" x14ac:dyDescent="0.2">
      <c r="B23" s="45">
        <v>5</v>
      </c>
      <c r="C23" s="44">
        <f t="shared" si="0"/>
        <v>3927</v>
      </c>
      <c r="D23" s="43" t="str">
        <f t="shared" si="1"/>
        <v>Johanes</v>
      </c>
      <c r="E23">
        <f t="shared" si="2"/>
        <v>3927</v>
      </c>
    </row>
    <row r="24" spans="2:5" x14ac:dyDescent="0.2">
      <c r="B24" s="45">
        <v>6</v>
      </c>
      <c r="C24" s="44">
        <f t="shared" si="0"/>
        <v>3821</v>
      </c>
      <c r="D24" s="43" t="str">
        <f t="shared" si="1"/>
        <v>Mekudo</v>
      </c>
      <c r="E24">
        <f t="shared" si="2"/>
        <v>3821</v>
      </c>
    </row>
    <row r="25" spans="2:5" x14ac:dyDescent="0.2">
      <c r="B25" s="45">
        <v>7</v>
      </c>
      <c r="C25" s="44">
        <f t="shared" si="0"/>
        <v>3064</v>
      </c>
      <c r="D25" s="43" t="str">
        <f t="shared" si="1"/>
        <v>Kriyat</v>
      </c>
      <c r="E25">
        <f t="shared" si="2"/>
        <v>3064</v>
      </c>
    </row>
  </sheetData>
  <mergeCells count="2">
    <mergeCell ref="B2:F2"/>
    <mergeCell ref="B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497FD-DB10-E447-9A18-66983ECDC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Kristanto Widodo</dc:creator>
  <cp:lastModifiedBy>Abel Kristanto Widodo</cp:lastModifiedBy>
  <dcterms:created xsi:type="dcterms:W3CDTF">2024-12-01T16:22:30Z</dcterms:created>
  <dcterms:modified xsi:type="dcterms:W3CDTF">2026-02-08T18:41:47Z</dcterms:modified>
</cp:coreProperties>
</file>